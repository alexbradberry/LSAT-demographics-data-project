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kentu\Documents\"/>
    </mc:Choice>
  </mc:AlternateContent>
  <xr:revisionPtr revIDLastSave="0" documentId="13_ncr:1_{198BE557-10EB-4B40-B600-193A46858C10}" xr6:coauthVersionLast="47" xr6:coauthVersionMax="47" xr10:uidLastSave="{00000000-0000-0000-0000-000000000000}"/>
  <bookViews>
    <workbookView xWindow="54480" yWindow="-120" windowWidth="29040" windowHeight="15840" xr2:uid="{CBC5DD8E-F0B2-4FF0-9299-DD8DBDEE35B3}"/>
  </bookViews>
  <sheets>
    <sheet name="2024vs2025 Class Totals" sheetId="1" r:id="rId1"/>
    <sheet name="2024 Demographics" sheetId="2" r:id="rId2"/>
    <sheet name="2025 Demographics" sheetId="4" r:id="rId3"/>
    <sheet name="2024vs2025 Demographic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9" i="5" l="1"/>
  <c r="AG8" i="5"/>
  <c r="J8" i="5"/>
  <c r="AG7" i="5"/>
  <c r="J7" i="5"/>
  <c r="J6" i="5"/>
  <c r="AD4" i="5"/>
  <c r="AD5" i="5"/>
  <c r="AD6" i="5"/>
  <c r="AD7" i="5"/>
  <c r="AD8" i="5"/>
  <c r="AD9" i="5"/>
  <c r="AD10" i="5"/>
  <c r="AD3" i="5"/>
  <c r="AA4" i="5"/>
  <c r="AA5" i="5"/>
  <c r="AA6" i="5"/>
  <c r="AA7" i="5"/>
  <c r="AA8" i="5"/>
  <c r="AA9" i="5"/>
  <c r="AA10" i="5"/>
  <c r="AA3" i="5"/>
  <c r="P4" i="5"/>
  <c r="P5" i="5"/>
  <c r="P6" i="5"/>
  <c r="P7" i="5"/>
  <c r="P8" i="5"/>
  <c r="P9" i="5"/>
  <c r="P10" i="5"/>
  <c r="P3" i="5"/>
  <c r="M4" i="5"/>
  <c r="M6" i="5"/>
  <c r="M8" i="5"/>
  <c r="M3" i="5"/>
  <c r="G4" i="5"/>
  <c r="G5" i="5"/>
  <c r="G6" i="5"/>
  <c r="G7" i="5"/>
  <c r="G8" i="5"/>
  <c r="G9" i="5"/>
  <c r="G10" i="5"/>
  <c r="G3" i="5"/>
  <c r="D4" i="5"/>
  <c r="D5" i="5"/>
  <c r="D6" i="5"/>
  <c r="D7" i="5"/>
  <c r="D8" i="5"/>
  <c r="D10" i="5"/>
  <c r="D3" i="5"/>
  <c r="O6" i="4"/>
  <c r="O7" i="4"/>
  <c r="O8" i="4"/>
  <c r="O9" i="4"/>
  <c r="O10" i="4"/>
  <c r="O5" i="4"/>
  <c r="C8" i="4"/>
  <c r="C7" i="4"/>
  <c r="C6" i="4"/>
  <c r="C5" i="4"/>
  <c r="P3" i="4"/>
  <c r="P4" i="2"/>
  <c r="P5" i="2"/>
  <c r="P6" i="2"/>
  <c r="P7" i="2"/>
  <c r="P8" i="2"/>
  <c r="P9" i="2"/>
  <c r="P10" i="2"/>
  <c r="P3" i="2"/>
  <c r="N3" i="4"/>
  <c r="M3" i="4"/>
  <c r="C4" i="4"/>
  <c r="C9" i="4"/>
  <c r="C10" i="4"/>
  <c r="C3" i="4"/>
  <c r="C9" i="2"/>
  <c r="C10" i="2"/>
  <c r="O6" i="2"/>
  <c r="N6" i="2"/>
  <c r="M6" i="2"/>
  <c r="C6" i="2"/>
  <c r="C7" i="2"/>
  <c r="C8" i="2"/>
  <c r="N5" i="2"/>
  <c r="N4" i="2"/>
  <c r="M5" i="2"/>
  <c r="C5" i="2"/>
  <c r="C4" i="2"/>
  <c r="C3" i="2"/>
  <c r="E7" i="1"/>
  <c r="E8" i="1"/>
  <c r="E9" i="1"/>
  <c r="E10" i="1"/>
  <c r="E11" i="1"/>
  <c r="E12" i="1"/>
  <c r="D7" i="1"/>
  <c r="D8" i="1"/>
  <c r="D9" i="1"/>
  <c r="D10" i="1"/>
  <c r="D11" i="1"/>
  <c r="D12" i="1"/>
  <c r="E6" i="1"/>
  <c r="D6" i="1"/>
  <c r="E5" i="1"/>
  <c r="D5" i="1"/>
  <c r="P10" i="4" l="1"/>
  <c r="N10" i="4"/>
  <c r="M10" i="4"/>
  <c r="P9" i="4"/>
  <c r="M9" i="4"/>
  <c r="N9" i="4"/>
  <c r="P8" i="4"/>
  <c r="N8" i="4"/>
  <c r="M8" i="4"/>
  <c r="P7" i="4"/>
  <c r="N7" i="4"/>
  <c r="M7" i="4"/>
  <c r="P6" i="4"/>
  <c r="N6" i="4"/>
  <c r="M6" i="4"/>
  <c r="P5" i="4"/>
  <c r="N5" i="4"/>
  <c r="M5" i="4"/>
  <c r="P4" i="4"/>
  <c r="N4" i="4"/>
  <c r="M4" i="4"/>
  <c r="O10" i="2"/>
  <c r="N10" i="2"/>
  <c r="M10" i="2"/>
  <c r="O9" i="2"/>
  <c r="M9" i="2"/>
  <c r="N9" i="2"/>
  <c r="M8" i="2"/>
  <c r="N8" i="2"/>
  <c r="O8" i="2"/>
  <c r="M7" i="2"/>
  <c r="O7" i="2"/>
  <c r="N7" i="2"/>
  <c r="M4" i="2"/>
  <c r="N3" i="2"/>
  <c r="M3" i="2"/>
</calcChain>
</file>

<file path=xl/sharedStrings.xml><?xml version="1.0" encoding="utf-8"?>
<sst xmlns="http://schemas.openxmlformats.org/spreadsheetml/2006/main" count="114" uniqueCount="61">
  <si>
    <t>American Bar Association Law School Data</t>
  </si>
  <si>
    <t>Name of School</t>
  </si>
  <si>
    <t>Campbell University</t>
  </si>
  <si>
    <t>Charleston School of Law</t>
  </si>
  <si>
    <t>Duke University</t>
  </si>
  <si>
    <t>Elon University</t>
  </si>
  <si>
    <t>North Carolina Central University</t>
  </si>
  <si>
    <t>University of South Carolina</t>
  </si>
  <si>
    <t>Wake Forest University School</t>
  </si>
  <si>
    <t>First Year total in 2024</t>
  </si>
  <si>
    <t>Total Men</t>
  </si>
  <si>
    <t>Total Women</t>
  </si>
  <si>
    <t>School Name</t>
  </si>
  <si>
    <t>First Year Total in 2025</t>
  </si>
  <si>
    <t>Total Difference</t>
  </si>
  <si>
    <t>% Difference</t>
  </si>
  <si>
    <t>Total Another Gender ID</t>
  </si>
  <si>
    <t>First Year Class Total</t>
  </si>
  <si>
    <t>Total Prefer Not To Report</t>
  </si>
  <si>
    <t>POC Class Total</t>
  </si>
  <si>
    <t>POC Total Men</t>
  </si>
  <si>
    <t>POC Total Women</t>
  </si>
  <si>
    <t>POC Total Another Gender ID</t>
  </si>
  <si>
    <t>POC Total Prefer Not To Report</t>
  </si>
  <si>
    <t>Percentage of POC Women</t>
  </si>
  <si>
    <t>Percentage of POC Men</t>
  </si>
  <si>
    <t>Percentage of Another Gender ID</t>
  </si>
  <si>
    <t>Wake Forest University</t>
  </si>
  <si>
    <t>Percentage of Prefer Not To Report</t>
  </si>
  <si>
    <t>Total Men 2024</t>
  </si>
  <si>
    <t>Total Men 2025</t>
  </si>
  <si>
    <t>Total Women 2024</t>
  </si>
  <si>
    <t>Total Women 2025</t>
  </si>
  <si>
    <t>Total Another Gender ID 2024</t>
  </si>
  <si>
    <t>Total Another Gender ID 2025</t>
  </si>
  <si>
    <t>Total Prefer Not To Report 2024</t>
  </si>
  <si>
    <t>Total Prefer Not to Report 2025</t>
  </si>
  <si>
    <t>POC Class Total 2024</t>
  </si>
  <si>
    <t>POC Class Total 2025</t>
  </si>
  <si>
    <t>POC Men Total 2024</t>
  </si>
  <si>
    <t>POC Men Total 2025</t>
  </si>
  <si>
    <t>POC Women Total 2024</t>
  </si>
  <si>
    <t>POC Women Total 2025</t>
  </si>
  <si>
    <t>POC Another Gender ID 2024</t>
  </si>
  <si>
    <t>POC Another Gender ID 2025</t>
  </si>
  <si>
    <t>POC Prefer Not To Report 2024</t>
  </si>
  <si>
    <t>POC Prefer Not To Report 2025</t>
  </si>
  <si>
    <t>Percentage of POC Men 2024</t>
  </si>
  <si>
    <t>Percentage of POC Men 2025</t>
  </si>
  <si>
    <t>Percentage Difference</t>
  </si>
  <si>
    <t>Percentage of POC Women 2024</t>
  </si>
  <si>
    <t>Percentage of POC Women 2025</t>
  </si>
  <si>
    <t>Percentage of POC Another Gender ID 2024</t>
  </si>
  <si>
    <t>Percentage of POC Another Gender ID 2025</t>
  </si>
  <si>
    <t>Percentage of POC Prefer Not To Report 2024</t>
  </si>
  <si>
    <t>Percentage of POC Prefer Not To Report 2025</t>
  </si>
  <si>
    <t>See notes</t>
  </si>
  <si>
    <t>This data references the datasets publicly available on the LSAC website, such as First Year enrollment, demographics, etc from NC and SC law Schools</t>
  </si>
  <si>
    <t>*Notes: Since you can't divide by zero, it generates a error here. Theorically you could just say they had a 100% increase if the previous year they had 0, but as I've researched, the information is a bit more complicated than that.</t>
  </si>
  <si>
    <t xml:space="preserve"> </t>
  </si>
  <si>
    <t>University of North Carolina-Chapel 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</si>
</sst>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3" fontId="0" fillId="0" borderId="0" xfId="0" applyNumberFormat="1"/>
    <xf numFmtId="10" fontId="0" fillId="0" borderId="0" xfId="1" applyNumberFormat="1" applyFont="1"/>
    <xf numFmtId="3" fontId="3" fillId="0" borderId="0" xfId="0" applyNumberFormat="1" applyFont="1"/>
    <xf numFmtId="0" fontId="2" fillId="0" borderId="0" xfId="0" applyFont="1"/>
    <xf numFmtId="0" fontId="2" fillId="0" borderId="0" xfId="0" applyFont="1" applyAlignment="1">
      <alignment wrapText="1"/>
    </xf>
    <xf numFmtId="0" fontId="4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1" applyNumberFormat="1" applyFont="1" applyAlignment="1">
      <alignment horizontal="center"/>
    </xf>
    <xf numFmtId="9" fontId="0" fillId="0" borderId="0" xfId="1" applyNumberFormat="1" applyFont="1" applyAlignment="1">
      <alignment horizontal="center"/>
    </xf>
    <xf numFmtId="9" fontId="0" fillId="0" borderId="0" xfId="1" applyFont="1" applyAlignment="1">
      <alignment horizontal="center"/>
    </xf>
    <xf numFmtId="9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7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General</a:t>
            </a:r>
            <a:r>
              <a:rPr lang="en-US" baseline="0"/>
              <a:t> Demographics 2024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0"/>
      <c:rotY val="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'2024 Demographics'!$B$1</c:f>
              <c:strCache>
                <c:ptCount val="1"/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strRef>
              <c:f>'2024 Demographics'!$A$2:$A$10</c:f>
              <c:strCache>
                <c:ptCount val="9"/>
                <c:pt idx="1">
                  <c:v>Campbell University</c:v>
                </c:pt>
                <c:pt idx="2">
                  <c:v>Charleston School of Law</c:v>
                </c:pt>
                <c:pt idx="3">
                  <c:v>Duke University</c:v>
                </c:pt>
                <c:pt idx="4">
                  <c:v>Elon University</c:v>
                </c:pt>
                <c:pt idx="5">
                  <c:v>North Carolina Central University</c:v>
                </c:pt>
                <c:pt idx="6">
                  <c:v>University of North Carolina-Chapel Hill</c:v>
                </c:pt>
                <c:pt idx="7">
                  <c:v>University of South Carolina</c:v>
                </c:pt>
                <c:pt idx="8">
                  <c:v>Wake Forest University</c:v>
                </c:pt>
              </c:strCache>
            </c:strRef>
          </c:cat>
          <c:val>
            <c:numRef>
              <c:f>'2024 Demographics'!$B$2:$B$10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0-9483-4619-9ADB-8A80DEB1CD70}"/>
            </c:ext>
          </c:extLst>
        </c:ser>
        <c:ser>
          <c:idx val="1"/>
          <c:order val="1"/>
          <c:tx>
            <c:strRef>
              <c:f>'2024 Demographics'!$C$1</c:f>
              <c:strCache>
                <c:ptCount val="1"/>
                <c:pt idx="0">
                  <c:v>First Year Class Total</c:v>
                </c:pt>
              </c:strCache>
            </c:strRef>
          </c:tx>
          <c:spPr>
            <a:pattFill prst="ltDnDiag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solidFill>
                <a:schemeClr val="accent2"/>
              </a:solidFill>
            </a:ln>
            <a:effectLst/>
            <a:sp3d>
              <a:contourClr>
                <a:schemeClr val="accent2"/>
              </a:contourClr>
            </a:sp3d>
          </c:spPr>
          <c:invertIfNegative val="0"/>
          <c:cat>
            <c:strRef>
              <c:f>'2024 Demographics'!$A$2:$A$10</c:f>
              <c:strCache>
                <c:ptCount val="9"/>
                <c:pt idx="1">
                  <c:v>Campbell University</c:v>
                </c:pt>
                <c:pt idx="2">
                  <c:v>Charleston School of Law</c:v>
                </c:pt>
                <c:pt idx="3">
                  <c:v>Duke University</c:v>
                </c:pt>
                <c:pt idx="4">
                  <c:v>Elon University</c:v>
                </c:pt>
                <c:pt idx="5">
                  <c:v>North Carolina Central University</c:v>
                </c:pt>
                <c:pt idx="6">
                  <c:v>University of North Carolina-Chapel Hill</c:v>
                </c:pt>
                <c:pt idx="7">
                  <c:v>University of South Carolina</c:v>
                </c:pt>
                <c:pt idx="8">
                  <c:v>Wake Forest University</c:v>
                </c:pt>
              </c:strCache>
            </c:strRef>
          </c:cat>
          <c:val>
            <c:numRef>
              <c:f>'2024 Demographics'!$C$2:$C$10</c:f>
              <c:numCache>
                <c:formatCode>General</c:formatCode>
                <c:ptCount val="9"/>
                <c:pt idx="1">
                  <c:v>191</c:v>
                </c:pt>
                <c:pt idx="2">
                  <c:v>272</c:v>
                </c:pt>
                <c:pt idx="3">
                  <c:v>250</c:v>
                </c:pt>
                <c:pt idx="4">
                  <c:v>206</c:v>
                </c:pt>
                <c:pt idx="5">
                  <c:v>133</c:v>
                </c:pt>
                <c:pt idx="6">
                  <c:v>181</c:v>
                </c:pt>
                <c:pt idx="7">
                  <c:v>226</c:v>
                </c:pt>
                <c:pt idx="8">
                  <c:v>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83-4619-9ADB-8A80DEB1CD70}"/>
            </c:ext>
          </c:extLst>
        </c:ser>
        <c:ser>
          <c:idx val="2"/>
          <c:order val="2"/>
          <c:tx>
            <c:strRef>
              <c:f>'2024 Demographics'!$D$1</c:f>
              <c:strCache>
                <c:ptCount val="1"/>
                <c:pt idx="0">
                  <c:v>Total Men</c:v>
                </c:pt>
              </c:strCache>
            </c:strRef>
          </c:tx>
          <c:spPr>
            <a:pattFill prst="ltDnDiag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solidFill>
                <a:schemeClr val="accent3"/>
              </a:solidFill>
            </a:ln>
            <a:effectLst/>
            <a:sp3d>
              <a:contourClr>
                <a:schemeClr val="accent3"/>
              </a:contourClr>
            </a:sp3d>
          </c:spPr>
          <c:invertIfNegative val="0"/>
          <c:cat>
            <c:strRef>
              <c:f>'2024 Demographics'!$A$2:$A$10</c:f>
              <c:strCache>
                <c:ptCount val="9"/>
                <c:pt idx="1">
                  <c:v>Campbell University</c:v>
                </c:pt>
                <c:pt idx="2">
                  <c:v>Charleston School of Law</c:v>
                </c:pt>
                <c:pt idx="3">
                  <c:v>Duke University</c:v>
                </c:pt>
                <c:pt idx="4">
                  <c:v>Elon University</c:v>
                </c:pt>
                <c:pt idx="5">
                  <c:v>North Carolina Central University</c:v>
                </c:pt>
                <c:pt idx="6">
                  <c:v>University of North Carolina-Chapel Hill</c:v>
                </c:pt>
                <c:pt idx="7">
                  <c:v>University of South Carolina</c:v>
                </c:pt>
                <c:pt idx="8">
                  <c:v>Wake Forest University</c:v>
                </c:pt>
              </c:strCache>
            </c:strRef>
          </c:cat>
          <c:val>
            <c:numRef>
              <c:f>'2024 Demographics'!$D$2:$D$10</c:f>
              <c:numCache>
                <c:formatCode>General</c:formatCode>
                <c:ptCount val="9"/>
                <c:pt idx="1">
                  <c:v>71</c:v>
                </c:pt>
                <c:pt idx="2">
                  <c:v>79</c:v>
                </c:pt>
                <c:pt idx="3">
                  <c:v>114</c:v>
                </c:pt>
                <c:pt idx="4">
                  <c:v>78</c:v>
                </c:pt>
                <c:pt idx="5">
                  <c:v>45</c:v>
                </c:pt>
                <c:pt idx="6">
                  <c:v>84</c:v>
                </c:pt>
                <c:pt idx="7">
                  <c:v>117</c:v>
                </c:pt>
                <c:pt idx="8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83-4619-9ADB-8A80DEB1CD70}"/>
            </c:ext>
          </c:extLst>
        </c:ser>
        <c:ser>
          <c:idx val="3"/>
          <c:order val="3"/>
          <c:tx>
            <c:strRef>
              <c:f>'2024 Demographics'!$E$1</c:f>
              <c:strCache>
                <c:ptCount val="1"/>
                <c:pt idx="0">
                  <c:v>Total Women</c:v>
                </c:pt>
              </c:strCache>
            </c:strRef>
          </c:tx>
          <c:spPr>
            <a:pattFill prst="ltDnDiag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solidFill>
                <a:schemeClr val="accent4"/>
              </a:solidFill>
            </a:ln>
            <a:effectLst/>
            <a:sp3d>
              <a:contourClr>
                <a:schemeClr val="accent4"/>
              </a:contourClr>
            </a:sp3d>
          </c:spPr>
          <c:invertIfNegative val="0"/>
          <c:cat>
            <c:strRef>
              <c:f>'2024 Demographics'!$A$2:$A$10</c:f>
              <c:strCache>
                <c:ptCount val="9"/>
                <c:pt idx="1">
                  <c:v>Campbell University</c:v>
                </c:pt>
                <c:pt idx="2">
                  <c:v>Charleston School of Law</c:v>
                </c:pt>
                <c:pt idx="3">
                  <c:v>Duke University</c:v>
                </c:pt>
                <c:pt idx="4">
                  <c:v>Elon University</c:v>
                </c:pt>
                <c:pt idx="5">
                  <c:v>North Carolina Central University</c:v>
                </c:pt>
                <c:pt idx="6">
                  <c:v>University of North Carolina-Chapel Hill</c:v>
                </c:pt>
                <c:pt idx="7">
                  <c:v>University of South Carolina</c:v>
                </c:pt>
                <c:pt idx="8">
                  <c:v>Wake Forest University</c:v>
                </c:pt>
              </c:strCache>
            </c:strRef>
          </c:cat>
          <c:val>
            <c:numRef>
              <c:f>'2024 Demographics'!$E$2:$E$10</c:f>
              <c:numCache>
                <c:formatCode>General</c:formatCode>
                <c:ptCount val="9"/>
                <c:pt idx="1">
                  <c:v>116</c:v>
                </c:pt>
                <c:pt idx="2">
                  <c:v>189</c:v>
                </c:pt>
                <c:pt idx="3">
                  <c:v>136</c:v>
                </c:pt>
                <c:pt idx="4">
                  <c:v>124</c:v>
                </c:pt>
                <c:pt idx="5">
                  <c:v>84</c:v>
                </c:pt>
                <c:pt idx="6">
                  <c:v>92</c:v>
                </c:pt>
                <c:pt idx="7">
                  <c:v>109</c:v>
                </c:pt>
                <c:pt idx="8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83-4619-9ADB-8A80DEB1CD70}"/>
            </c:ext>
          </c:extLst>
        </c:ser>
        <c:ser>
          <c:idx val="4"/>
          <c:order val="4"/>
          <c:tx>
            <c:strRef>
              <c:f>'2024 Demographics'!$F$1</c:f>
              <c:strCache>
                <c:ptCount val="1"/>
                <c:pt idx="0">
                  <c:v>Total Another Gender ID</c:v>
                </c:pt>
              </c:strCache>
            </c:strRef>
          </c:tx>
          <c:spPr>
            <a:pattFill prst="ltDnDiag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solidFill>
                <a:schemeClr val="accent5"/>
              </a:solidFill>
            </a:ln>
            <a:effectLst/>
            <a:sp3d>
              <a:contourClr>
                <a:schemeClr val="accent5"/>
              </a:contourClr>
            </a:sp3d>
          </c:spPr>
          <c:invertIfNegative val="0"/>
          <c:cat>
            <c:strRef>
              <c:f>'2024 Demographics'!$A$2:$A$10</c:f>
              <c:strCache>
                <c:ptCount val="9"/>
                <c:pt idx="1">
                  <c:v>Campbell University</c:v>
                </c:pt>
                <c:pt idx="2">
                  <c:v>Charleston School of Law</c:v>
                </c:pt>
                <c:pt idx="3">
                  <c:v>Duke University</c:v>
                </c:pt>
                <c:pt idx="4">
                  <c:v>Elon University</c:v>
                </c:pt>
                <c:pt idx="5">
                  <c:v>North Carolina Central University</c:v>
                </c:pt>
                <c:pt idx="6">
                  <c:v>University of North Carolina-Chapel Hill</c:v>
                </c:pt>
                <c:pt idx="7">
                  <c:v>University of South Carolina</c:v>
                </c:pt>
                <c:pt idx="8">
                  <c:v>Wake Forest University</c:v>
                </c:pt>
              </c:strCache>
            </c:strRef>
          </c:cat>
          <c:val>
            <c:numRef>
              <c:f>'2024 Demographics'!$F$2:$F$10</c:f>
              <c:numCache>
                <c:formatCode>General</c:formatCode>
                <c:ptCount val="9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4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83-4619-9ADB-8A80DEB1CD70}"/>
            </c:ext>
          </c:extLst>
        </c:ser>
        <c:ser>
          <c:idx val="5"/>
          <c:order val="5"/>
          <c:tx>
            <c:strRef>
              <c:f>'2024 Demographics'!$G$1</c:f>
              <c:strCache>
                <c:ptCount val="1"/>
                <c:pt idx="0">
                  <c:v>Total Prefer Not To Report</c:v>
                </c:pt>
              </c:strCache>
            </c:strRef>
          </c:tx>
          <c:spPr>
            <a:pattFill prst="ltDnDiag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solidFill>
                <a:schemeClr val="accent6"/>
              </a:solidFill>
            </a:ln>
            <a:effectLst/>
            <a:sp3d>
              <a:contourClr>
                <a:schemeClr val="accent6"/>
              </a:contourClr>
            </a:sp3d>
          </c:spPr>
          <c:invertIfNegative val="0"/>
          <c:cat>
            <c:strRef>
              <c:f>'2024 Demographics'!$A$2:$A$10</c:f>
              <c:strCache>
                <c:ptCount val="9"/>
                <c:pt idx="1">
                  <c:v>Campbell University</c:v>
                </c:pt>
                <c:pt idx="2">
                  <c:v>Charleston School of Law</c:v>
                </c:pt>
                <c:pt idx="3">
                  <c:v>Duke University</c:v>
                </c:pt>
                <c:pt idx="4">
                  <c:v>Elon University</c:v>
                </c:pt>
                <c:pt idx="5">
                  <c:v>North Carolina Central University</c:v>
                </c:pt>
                <c:pt idx="6">
                  <c:v>University of North Carolina-Chapel Hill</c:v>
                </c:pt>
                <c:pt idx="7">
                  <c:v>University of South Carolina</c:v>
                </c:pt>
                <c:pt idx="8">
                  <c:v>Wake Forest University</c:v>
                </c:pt>
              </c:strCache>
            </c:strRef>
          </c:cat>
          <c:val>
            <c:numRef>
              <c:f>'2024 Demographics'!$G$2:$G$10</c:f>
              <c:numCache>
                <c:formatCode>General</c:formatCode>
                <c:ptCount val="9"/>
                <c:pt idx="1">
                  <c:v>4</c:v>
                </c:pt>
                <c:pt idx="2">
                  <c:v>4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483-4619-9ADB-8A80DEB1C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gapDepth val="0"/>
        <c:shape val="box"/>
        <c:axId val="456944879"/>
        <c:axId val="275683776"/>
        <c:axId val="0"/>
      </c:bar3DChart>
      <c:catAx>
        <c:axId val="456944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683776"/>
        <c:crosses val="autoZero"/>
        <c:auto val="1"/>
        <c:lblAlgn val="ctr"/>
        <c:lblOffset val="100"/>
        <c:noMultiLvlLbl val="0"/>
      </c:catAx>
      <c:valAx>
        <c:axId val="275683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944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of POC</a:t>
            </a:r>
            <a:r>
              <a:rPr lang="en-US" baseline="0"/>
              <a:t> students contained in the First Year Total</a:t>
            </a:r>
          </a:p>
        </c:rich>
      </c:tx>
      <c:layout>
        <c:manualLayout>
          <c:xMode val="edge"/>
          <c:yMode val="edge"/>
          <c:x val="0.20089991013566744"/>
          <c:y val="4.42233201058016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'2024 Demographics'!$C$1</c:f>
              <c:strCache>
                <c:ptCount val="1"/>
                <c:pt idx="0">
                  <c:v>First Year Class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'2024 Demographics'!$A$2:$A$10</c:f>
              <c:strCache>
                <c:ptCount val="9"/>
                <c:pt idx="1">
                  <c:v>Campbell University</c:v>
                </c:pt>
                <c:pt idx="2">
                  <c:v>Charleston School of Law</c:v>
                </c:pt>
                <c:pt idx="3">
                  <c:v>Duke University</c:v>
                </c:pt>
                <c:pt idx="4">
                  <c:v>Elon University</c:v>
                </c:pt>
                <c:pt idx="5">
                  <c:v>North Carolina Central University</c:v>
                </c:pt>
                <c:pt idx="6">
                  <c:v>University of North Carolina-Chapel Hill</c:v>
                </c:pt>
                <c:pt idx="7">
                  <c:v>University of South Carolina</c:v>
                </c:pt>
                <c:pt idx="8">
                  <c:v>Wake Forest University</c:v>
                </c:pt>
              </c:strCache>
            </c:strRef>
          </c:cat>
          <c:val>
            <c:numRef>
              <c:f>'2024 Demographics'!$C$2:$C$10</c:f>
              <c:numCache>
                <c:formatCode>General</c:formatCode>
                <c:ptCount val="9"/>
                <c:pt idx="1">
                  <c:v>191</c:v>
                </c:pt>
                <c:pt idx="2">
                  <c:v>272</c:v>
                </c:pt>
                <c:pt idx="3">
                  <c:v>250</c:v>
                </c:pt>
                <c:pt idx="4">
                  <c:v>206</c:v>
                </c:pt>
                <c:pt idx="5">
                  <c:v>133</c:v>
                </c:pt>
                <c:pt idx="6">
                  <c:v>181</c:v>
                </c:pt>
                <c:pt idx="7">
                  <c:v>226</c:v>
                </c:pt>
                <c:pt idx="8">
                  <c:v>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DD-4DEA-8B47-CFA1696BA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075136"/>
        <c:axId val="355978112"/>
      </c:barChart>
      <c:lineChart>
        <c:grouping val="standard"/>
        <c:varyColors val="0"/>
        <c:ser>
          <c:idx val="1"/>
          <c:order val="1"/>
          <c:tx>
            <c:strRef>
              <c:f>'2024 Demographics'!$H$1</c:f>
              <c:strCache>
                <c:ptCount val="1"/>
                <c:pt idx="0">
                  <c:v>POC Class 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 Demographics'!$A$2:$A$10</c:f>
              <c:strCache>
                <c:ptCount val="9"/>
                <c:pt idx="1">
                  <c:v>Campbell University</c:v>
                </c:pt>
                <c:pt idx="2">
                  <c:v>Charleston School of Law</c:v>
                </c:pt>
                <c:pt idx="3">
                  <c:v>Duke University</c:v>
                </c:pt>
                <c:pt idx="4">
                  <c:v>Elon University</c:v>
                </c:pt>
                <c:pt idx="5">
                  <c:v>North Carolina Central University</c:v>
                </c:pt>
                <c:pt idx="6">
                  <c:v>University of North Carolina-Chapel Hill</c:v>
                </c:pt>
                <c:pt idx="7">
                  <c:v>University of South Carolina</c:v>
                </c:pt>
                <c:pt idx="8">
                  <c:v>Wake Forest University</c:v>
                </c:pt>
              </c:strCache>
            </c:strRef>
          </c:cat>
          <c:val>
            <c:numRef>
              <c:f>'2024 Demographics'!$H$2:$H$10</c:f>
              <c:numCache>
                <c:formatCode>General</c:formatCode>
                <c:ptCount val="9"/>
                <c:pt idx="1">
                  <c:v>46</c:v>
                </c:pt>
                <c:pt idx="2">
                  <c:v>39</c:v>
                </c:pt>
                <c:pt idx="3">
                  <c:v>99</c:v>
                </c:pt>
                <c:pt idx="4">
                  <c:v>55</c:v>
                </c:pt>
                <c:pt idx="5">
                  <c:v>96</c:v>
                </c:pt>
                <c:pt idx="6">
                  <c:v>43</c:v>
                </c:pt>
                <c:pt idx="7">
                  <c:v>38</c:v>
                </c:pt>
                <c:pt idx="8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DD-4DEA-8B47-CFA1696BA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075136"/>
        <c:axId val="355978112"/>
      </c:lineChart>
      <c:catAx>
        <c:axId val="14707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978112"/>
        <c:crosses val="autoZero"/>
        <c:auto val="1"/>
        <c:lblAlgn val="ctr"/>
        <c:lblOffset val="100"/>
        <c:noMultiLvlLbl val="0"/>
      </c:catAx>
      <c:valAx>
        <c:axId val="35597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7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General</a:t>
            </a:r>
            <a:r>
              <a:rPr lang="en-US" baseline="0"/>
              <a:t> Demographics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'2025 Demographics'!$C$1</c:f>
              <c:strCache>
                <c:ptCount val="1"/>
                <c:pt idx="0">
                  <c:v>First Year Class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Demographics'!$A$2:$A$10</c:f>
              <c:strCache>
                <c:ptCount val="9"/>
                <c:pt idx="1">
                  <c:v>Campbell University</c:v>
                </c:pt>
                <c:pt idx="2">
                  <c:v>Charleston School of Law</c:v>
                </c:pt>
                <c:pt idx="3">
                  <c:v>Duke University</c:v>
                </c:pt>
                <c:pt idx="4">
                  <c:v>Elon University</c:v>
                </c:pt>
                <c:pt idx="5">
                  <c:v>North Carolina Central University</c:v>
                </c:pt>
                <c:pt idx="6">
                  <c:v>University of North Carolina-Chapel Hill</c:v>
                </c:pt>
                <c:pt idx="7">
                  <c:v>University of South Carolina</c:v>
                </c:pt>
                <c:pt idx="8">
                  <c:v>Wake Forest University</c:v>
                </c:pt>
              </c:strCache>
            </c:strRef>
          </c:cat>
          <c:val>
            <c:numRef>
              <c:f>'2025 Demographics'!$C$2:$C$10</c:f>
              <c:numCache>
                <c:formatCode>General</c:formatCode>
                <c:ptCount val="9"/>
                <c:pt idx="1">
                  <c:v>202</c:v>
                </c:pt>
                <c:pt idx="2">
                  <c:v>241</c:v>
                </c:pt>
                <c:pt idx="3">
                  <c:v>227</c:v>
                </c:pt>
                <c:pt idx="4">
                  <c:v>228</c:v>
                </c:pt>
                <c:pt idx="5">
                  <c:v>133</c:v>
                </c:pt>
                <c:pt idx="6">
                  <c:v>181</c:v>
                </c:pt>
                <c:pt idx="7">
                  <c:v>221</c:v>
                </c:pt>
                <c:pt idx="8">
                  <c:v>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2B-4ADB-9C2B-19D9E045877A}"/>
            </c:ext>
          </c:extLst>
        </c:ser>
        <c:ser>
          <c:idx val="1"/>
          <c:order val="1"/>
          <c:tx>
            <c:strRef>
              <c:f>'2025 Demographics'!$D$1</c:f>
              <c:strCache>
                <c:ptCount val="1"/>
                <c:pt idx="0">
                  <c:v>Total Men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Demographics'!$A$2:$A$10</c:f>
              <c:strCache>
                <c:ptCount val="9"/>
                <c:pt idx="1">
                  <c:v>Campbell University</c:v>
                </c:pt>
                <c:pt idx="2">
                  <c:v>Charleston School of Law</c:v>
                </c:pt>
                <c:pt idx="3">
                  <c:v>Duke University</c:v>
                </c:pt>
                <c:pt idx="4">
                  <c:v>Elon University</c:v>
                </c:pt>
                <c:pt idx="5">
                  <c:v>North Carolina Central University</c:v>
                </c:pt>
                <c:pt idx="6">
                  <c:v>University of North Carolina-Chapel Hill</c:v>
                </c:pt>
                <c:pt idx="7">
                  <c:v>University of South Carolina</c:v>
                </c:pt>
                <c:pt idx="8">
                  <c:v>Wake Forest University</c:v>
                </c:pt>
              </c:strCache>
            </c:strRef>
          </c:cat>
          <c:val>
            <c:numRef>
              <c:f>'2025 Demographics'!$D$2:$D$10</c:f>
              <c:numCache>
                <c:formatCode>General</c:formatCode>
                <c:ptCount val="9"/>
                <c:pt idx="1">
                  <c:v>84</c:v>
                </c:pt>
                <c:pt idx="2">
                  <c:v>90</c:v>
                </c:pt>
                <c:pt idx="3">
                  <c:v>107</c:v>
                </c:pt>
                <c:pt idx="4">
                  <c:v>78</c:v>
                </c:pt>
                <c:pt idx="5">
                  <c:v>38</c:v>
                </c:pt>
                <c:pt idx="6">
                  <c:v>85</c:v>
                </c:pt>
                <c:pt idx="7">
                  <c:v>121</c:v>
                </c:pt>
                <c:pt idx="8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2B-4ADB-9C2B-19D9E045877A}"/>
            </c:ext>
          </c:extLst>
        </c:ser>
        <c:ser>
          <c:idx val="2"/>
          <c:order val="2"/>
          <c:tx>
            <c:strRef>
              <c:f>'2025 Demographics'!$E$1</c:f>
              <c:strCache>
                <c:ptCount val="1"/>
                <c:pt idx="0">
                  <c:v>Total Women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Demographics'!$A$2:$A$10</c:f>
              <c:strCache>
                <c:ptCount val="9"/>
                <c:pt idx="1">
                  <c:v>Campbell University</c:v>
                </c:pt>
                <c:pt idx="2">
                  <c:v>Charleston School of Law</c:v>
                </c:pt>
                <c:pt idx="3">
                  <c:v>Duke University</c:v>
                </c:pt>
                <c:pt idx="4">
                  <c:v>Elon University</c:v>
                </c:pt>
                <c:pt idx="5">
                  <c:v>North Carolina Central University</c:v>
                </c:pt>
                <c:pt idx="6">
                  <c:v>University of North Carolina-Chapel Hill</c:v>
                </c:pt>
                <c:pt idx="7">
                  <c:v>University of South Carolina</c:v>
                </c:pt>
                <c:pt idx="8">
                  <c:v>Wake Forest University</c:v>
                </c:pt>
              </c:strCache>
            </c:strRef>
          </c:cat>
          <c:val>
            <c:numRef>
              <c:f>'2025 Demographics'!$E$2:$E$10</c:f>
              <c:numCache>
                <c:formatCode>General</c:formatCode>
                <c:ptCount val="9"/>
                <c:pt idx="1">
                  <c:v>117</c:v>
                </c:pt>
                <c:pt idx="2">
                  <c:v>151</c:v>
                </c:pt>
                <c:pt idx="3">
                  <c:v>115</c:v>
                </c:pt>
                <c:pt idx="4">
                  <c:v>149</c:v>
                </c:pt>
                <c:pt idx="5">
                  <c:v>94</c:v>
                </c:pt>
                <c:pt idx="6">
                  <c:v>92</c:v>
                </c:pt>
                <c:pt idx="7">
                  <c:v>100</c:v>
                </c:pt>
                <c:pt idx="8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2B-4ADB-9C2B-19D9E045877A}"/>
            </c:ext>
          </c:extLst>
        </c:ser>
        <c:ser>
          <c:idx val="3"/>
          <c:order val="3"/>
          <c:tx>
            <c:strRef>
              <c:f>'2025 Demographics'!$F$1</c:f>
              <c:strCache>
                <c:ptCount val="1"/>
                <c:pt idx="0">
                  <c:v>Total Another Gender ID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Demographics'!$A$2:$A$10</c:f>
              <c:strCache>
                <c:ptCount val="9"/>
                <c:pt idx="1">
                  <c:v>Campbell University</c:v>
                </c:pt>
                <c:pt idx="2">
                  <c:v>Charleston School of Law</c:v>
                </c:pt>
                <c:pt idx="3">
                  <c:v>Duke University</c:v>
                </c:pt>
                <c:pt idx="4">
                  <c:v>Elon University</c:v>
                </c:pt>
                <c:pt idx="5">
                  <c:v>North Carolina Central University</c:v>
                </c:pt>
                <c:pt idx="6">
                  <c:v>University of North Carolina-Chapel Hill</c:v>
                </c:pt>
                <c:pt idx="7">
                  <c:v>University of South Carolina</c:v>
                </c:pt>
                <c:pt idx="8">
                  <c:v>Wake Forest University</c:v>
                </c:pt>
              </c:strCache>
            </c:strRef>
          </c:cat>
          <c:val>
            <c:numRef>
              <c:f>'2025 Demographics'!$F$2:$F$10</c:f>
              <c:numCache>
                <c:formatCode>General</c:formatCode>
                <c:ptCount val="9"/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1</c:v>
                </c:pt>
                <c:pt idx="5">
                  <c:v>1</c:v>
                </c:pt>
                <c:pt idx="6">
                  <c:v>4</c:v>
                </c:pt>
                <c:pt idx="7">
                  <c:v>0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2B-4ADB-9C2B-19D9E045877A}"/>
            </c:ext>
          </c:extLst>
        </c:ser>
        <c:ser>
          <c:idx val="4"/>
          <c:order val="4"/>
          <c:tx>
            <c:strRef>
              <c:f>'2025 Demographics'!$G$1</c:f>
              <c:strCache>
                <c:ptCount val="1"/>
                <c:pt idx="0">
                  <c:v>Total Prefer Not To Report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Demographics'!$A$2:$A$10</c:f>
              <c:strCache>
                <c:ptCount val="9"/>
                <c:pt idx="1">
                  <c:v>Campbell University</c:v>
                </c:pt>
                <c:pt idx="2">
                  <c:v>Charleston School of Law</c:v>
                </c:pt>
                <c:pt idx="3">
                  <c:v>Duke University</c:v>
                </c:pt>
                <c:pt idx="4">
                  <c:v>Elon University</c:v>
                </c:pt>
                <c:pt idx="5">
                  <c:v>North Carolina Central University</c:v>
                </c:pt>
                <c:pt idx="6">
                  <c:v>University of North Carolina-Chapel Hill</c:v>
                </c:pt>
                <c:pt idx="7">
                  <c:v>University of South Carolina</c:v>
                </c:pt>
                <c:pt idx="8">
                  <c:v>Wake Forest University</c:v>
                </c:pt>
              </c:strCache>
            </c:strRef>
          </c:cat>
          <c:val>
            <c:numRef>
              <c:f>'2025 Demographics'!$G$2:$G$10</c:f>
              <c:numCache>
                <c:formatCode>General</c:formatCode>
                <c:ptCount val="9"/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D2B-4ADB-9C2B-19D9E04587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98556096"/>
        <c:axId val="355984352"/>
      </c:barChart>
      <c:catAx>
        <c:axId val="89855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984352"/>
        <c:crosses val="autoZero"/>
        <c:auto val="1"/>
        <c:lblAlgn val="ctr"/>
        <c:lblOffset val="100"/>
        <c:noMultiLvlLbl val="0"/>
      </c:catAx>
      <c:valAx>
        <c:axId val="35598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556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of POC students contained in the First Year Total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'2025 Demographics'!$C$1</c:f>
              <c:strCache>
                <c:ptCount val="1"/>
                <c:pt idx="0">
                  <c:v>First Year Class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'2025 Demographics'!$A$2:$A$10</c:f>
              <c:strCache>
                <c:ptCount val="9"/>
                <c:pt idx="1">
                  <c:v>Campbell University</c:v>
                </c:pt>
                <c:pt idx="2">
                  <c:v>Charleston School of Law</c:v>
                </c:pt>
                <c:pt idx="3">
                  <c:v>Duke University</c:v>
                </c:pt>
                <c:pt idx="4">
                  <c:v>Elon University</c:v>
                </c:pt>
                <c:pt idx="5">
                  <c:v>North Carolina Central University</c:v>
                </c:pt>
                <c:pt idx="6">
                  <c:v>University of North Carolina-Chapel Hill</c:v>
                </c:pt>
                <c:pt idx="7">
                  <c:v>University of South Carolina</c:v>
                </c:pt>
                <c:pt idx="8">
                  <c:v>Wake Forest University</c:v>
                </c:pt>
              </c:strCache>
            </c:strRef>
          </c:cat>
          <c:val>
            <c:numRef>
              <c:f>'2025 Demographics'!$C$2:$C$10</c:f>
              <c:numCache>
                <c:formatCode>General</c:formatCode>
                <c:ptCount val="9"/>
                <c:pt idx="1">
                  <c:v>202</c:v>
                </c:pt>
                <c:pt idx="2">
                  <c:v>241</c:v>
                </c:pt>
                <c:pt idx="3">
                  <c:v>227</c:v>
                </c:pt>
                <c:pt idx="4">
                  <c:v>228</c:v>
                </c:pt>
                <c:pt idx="5">
                  <c:v>133</c:v>
                </c:pt>
                <c:pt idx="6">
                  <c:v>181</c:v>
                </c:pt>
                <c:pt idx="7">
                  <c:v>221</c:v>
                </c:pt>
                <c:pt idx="8">
                  <c:v>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07-4637-96B8-2BEA45F08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5118432"/>
        <c:axId val="919976128"/>
      </c:barChart>
      <c:lineChart>
        <c:grouping val="standard"/>
        <c:varyColors val="0"/>
        <c:ser>
          <c:idx val="1"/>
          <c:order val="1"/>
          <c:tx>
            <c:strRef>
              <c:f>'2025 Demographics'!$H$1</c:f>
              <c:strCache>
                <c:ptCount val="1"/>
                <c:pt idx="0">
                  <c:v>POC Class 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'2025 Demographics'!$A$2:$A$10</c:f>
              <c:strCache>
                <c:ptCount val="9"/>
                <c:pt idx="1">
                  <c:v>Campbell University</c:v>
                </c:pt>
                <c:pt idx="2">
                  <c:v>Charleston School of Law</c:v>
                </c:pt>
                <c:pt idx="3">
                  <c:v>Duke University</c:v>
                </c:pt>
                <c:pt idx="4">
                  <c:v>Elon University</c:v>
                </c:pt>
                <c:pt idx="5">
                  <c:v>North Carolina Central University</c:v>
                </c:pt>
                <c:pt idx="6">
                  <c:v>University of North Carolina-Chapel Hill</c:v>
                </c:pt>
                <c:pt idx="7">
                  <c:v>University of South Carolina</c:v>
                </c:pt>
                <c:pt idx="8">
                  <c:v>Wake Forest University</c:v>
                </c:pt>
              </c:strCache>
            </c:strRef>
          </c:cat>
          <c:val>
            <c:numRef>
              <c:f>'2025 Demographics'!$H$2:$H$10</c:f>
              <c:numCache>
                <c:formatCode>General</c:formatCode>
                <c:ptCount val="9"/>
                <c:pt idx="1">
                  <c:v>49</c:v>
                </c:pt>
                <c:pt idx="2">
                  <c:v>37</c:v>
                </c:pt>
                <c:pt idx="3">
                  <c:v>83</c:v>
                </c:pt>
                <c:pt idx="4">
                  <c:v>79</c:v>
                </c:pt>
                <c:pt idx="5">
                  <c:v>105</c:v>
                </c:pt>
                <c:pt idx="6">
                  <c:v>42</c:v>
                </c:pt>
                <c:pt idx="7">
                  <c:v>32</c:v>
                </c:pt>
                <c:pt idx="8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07-4637-96B8-2BEA45F08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5118432"/>
        <c:axId val="919976128"/>
      </c:lineChart>
      <c:catAx>
        <c:axId val="1155118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976128"/>
        <c:crosses val="autoZero"/>
        <c:auto val="1"/>
        <c:lblAlgn val="ctr"/>
        <c:lblOffset val="100"/>
        <c:noMultiLvlLbl val="0"/>
      </c:catAx>
      <c:valAx>
        <c:axId val="9199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118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647699</xdr:colOff>
      <xdr:row>13</xdr:row>
      <xdr:rowOff>61911</xdr:rowOff>
    </xdr:from>
    <xdr:to>
      <xdr:col>7</xdr:col>
      <xdr:colOff>180974</xdr:colOff>
      <xdr:row>33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8FFBBE-112E-1214-0C40-C6063C3EE6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161924</xdr:colOff>
      <xdr:row>15</xdr:row>
      <xdr:rowOff>4762</xdr:rowOff>
    </xdr:from>
    <xdr:to>
      <xdr:col>19</xdr:col>
      <xdr:colOff>85724</xdr:colOff>
      <xdr:row>30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28F51BE-4B22-F31F-34A4-49476F5D4D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1314449</xdr:colOff>
      <xdr:row>14</xdr:row>
      <xdr:rowOff>80961</xdr:rowOff>
    </xdr:from>
    <xdr:to>
      <xdr:col>13</xdr:col>
      <xdr:colOff>781050</xdr:colOff>
      <xdr:row>36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92B328B-3FBB-5D56-5963-411E5B274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538161</xdr:colOff>
      <xdr:row>13</xdr:row>
      <xdr:rowOff>138111</xdr:rowOff>
    </xdr:from>
    <xdr:to>
      <xdr:col>25</xdr:col>
      <xdr:colOff>581025</xdr:colOff>
      <xdr:row>37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BA7E491-7F5D-22CF-CF57-6A1DCDA96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D3DA9-4F48-4A49-AD5A-1C34CC232E3C}">
  <dimension ref="A1:R12"/>
  <sheetViews>
    <sheetView tabSelected="1" workbookViewId="0">
      <selection activeCell="E25" sqref="E25"/>
    </sheetView>
  </sheetViews>
  <sheetFormatPr defaultRowHeight="15" x14ac:dyDescent="0.25"/>
  <cols>
    <col min="1" max="1" width="37" customWidth="1"/>
    <col min="2" max="2" width="25.85546875" bestFit="1" customWidth="1"/>
    <col min="3" max="3" width="21.140625" bestFit="1" customWidth="1"/>
    <col min="4" max="4" width="15.7109375" bestFit="1" customWidth="1"/>
    <col min="5" max="5" width="20" customWidth="1"/>
    <col min="6" max="6" width="19" bestFit="1" customWidth="1"/>
    <col min="7" max="7" width="30.42578125" bestFit="1" customWidth="1"/>
    <col min="8" max="8" width="27.85546875" bestFit="1" customWidth="1"/>
    <col min="9" max="9" width="28.140625" bestFit="1" customWidth="1"/>
    <col min="10" max="10" width="22.7109375" bestFit="1" customWidth="1"/>
    <col min="11" max="11" width="19.7109375" bestFit="1" customWidth="1"/>
    <col min="12" max="12" width="12.85546875" customWidth="1"/>
  </cols>
  <sheetData>
    <row r="1" spans="1:18" ht="26.25" x14ac:dyDescent="0.4">
      <c r="A1" s="3" t="s">
        <v>0</v>
      </c>
      <c r="B1" s="1"/>
      <c r="C1" s="1"/>
      <c r="D1" s="2"/>
    </row>
    <row r="2" spans="1:18" x14ac:dyDescent="0.25">
      <c r="A2" s="1" t="s">
        <v>57</v>
      </c>
      <c r="B2" s="1"/>
      <c r="D2" s="2"/>
    </row>
    <row r="3" spans="1:18" ht="46.5" customHeight="1" x14ac:dyDescent="0.35">
      <c r="A3" s="9" t="s">
        <v>1</v>
      </c>
      <c r="B3" s="10" t="s">
        <v>9</v>
      </c>
      <c r="C3" s="10" t="s">
        <v>13</v>
      </c>
      <c r="D3" s="10" t="s">
        <v>14</v>
      </c>
      <c r="E3" s="10" t="s">
        <v>15</v>
      </c>
      <c r="F3" s="4"/>
      <c r="G3" s="5"/>
      <c r="H3" s="5"/>
      <c r="I3" s="4"/>
      <c r="J3" s="4"/>
      <c r="K3" s="5"/>
      <c r="L3" s="5"/>
      <c r="M3" s="5"/>
      <c r="N3" s="5"/>
      <c r="O3" s="5"/>
      <c r="P3" s="5"/>
      <c r="Q3" s="5"/>
      <c r="R3" s="5"/>
    </row>
    <row r="4" spans="1:18" x14ac:dyDescent="0.25">
      <c r="G4" t="s">
        <v>59</v>
      </c>
    </row>
    <row r="5" spans="1:18" x14ac:dyDescent="0.25">
      <c r="A5" s="4" t="s">
        <v>2</v>
      </c>
      <c r="B5" s="11">
        <v>191</v>
      </c>
      <c r="C5" s="11">
        <v>202</v>
      </c>
      <c r="D5" s="11">
        <f>C5-B5</f>
        <v>11</v>
      </c>
      <c r="E5" s="12">
        <f>(C5-B5)/C5</f>
        <v>5.4455445544554455E-2</v>
      </c>
    </row>
    <row r="6" spans="1:18" x14ac:dyDescent="0.25">
      <c r="A6" s="4" t="s">
        <v>3</v>
      </c>
      <c r="B6" s="11">
        <v>272</v>
      </c>
      <c r="C6" s="11">
        <v>241</v>
      </c>
      <c r="D6" s="11">
        <f>C6-B6</f>
        <v>-31</v>
      </c>
      <c r="E6" s="12">
        <f>(C6-B6)/C6</f>
        <v>-0.12863070539419086</v>
      </c>
    </row>
    <row r="7" spans="1:18" x14ac:dyDescent="0.25">
      <c r="A7" s="4" t="s">
        <v>4</v>
      </c>
      <c r="B7" s="11">
        <v>250</v>
      </c>
      <c r="C7" s="11">
        <v>227</v>
      </c>
      <c r="D7" s="11">
        <f t="shared" ref="D7:D12" si="0">C7-B7</f>
        <v>-23</v>
      </c>
      <c r="E7" s="12">
        <f t="shared" ref="E7:E12" si="1">(C7-B7)/C7</f>
        <v>-0.1013215859030837</v>
      </c>
    </row>
    <row r="8" spans="1:18" x14ac:dyDescent="0.25">
      <c r="A8" s="4" t="s">
        <v>5</v>
      </c>
      <c r="B8" s="11">
        <v>206</v>
      </c>
      <c r="C8" s="11">
        <v>228</v>
      </c>
      <c r="D8" s="11">
        <f t="shared" si="0"/>
        <v>22</v>
      </c>
      <c r="E8" s="12">
        <f t="shared" si="1"/>
        <v>9.6491228070175433E-2</v>
      </c>
    </row>
    <row r="9" spans="1:18" x14ac:dyDescent="0.25">
      <c r="A9" s="4" t="s">
        <v>6</v>
      </c>
      <c r="B9" s="11">
        <v>133</v>
      </c>
      <c r="C9" s="11">
        <v>133</v>
      </c>
      <c r="D9" s="11">
        <f t="shared" si="0"/>
        <v>0</v>
      </c>
      <c r="E9" s="12">
        <f t="shared" si="1"/>
        <v>0</v>
      </c>
    </row>
    <row r="10" spans="1:18" x14ac:dyDescent="0.25">
      <c r="A10" s="4" t="s">
        <v>60</v>
      </c>
      <c r="B10" s="11">
        <v>181</v>
      </c>
      <c r="C10" s="11">
        <v>181</v>
      </c>
      <c r="D10" s="11">
        <f t="shared" si="0"/>
        <v>0</v>
      </c>
      <c r="E10" s="12">
        <f t="shared" si="1"/>
        <v>0</v>
      </c>
    </row>
    <row r="11" spans="1:18" x14ac:dyDescent="0.25">
      <c r="A11" s="4" t="s">
        <v>7</v>
      </c>
      <c r="B11" s="11">
        <v>226</v>
      </c>
      <c r="C11" s="11">
        <v>221</v>
      </c>
      <c r="D11" s="11">
        <f t="shared" si="0"/>
        <v>-5</v>
      </c>
      <c r="E11" s="12">
        <f t="shared" si="1"/>
        <v>-2.2624434389140271E-2</v>
      </c>
    </row>
    <row r="12" spans="1:18" x14ac:dyDescent="0.25">
      <c r="A12" s="4" t="s">
        <v>8</v>
      </c>
      <c r="B12" s="11">
        <v>192</v>
      </c>
      <c r="C12" s="11">
        <v>204</v>
      </c>
      <c r="D12" s="11">
        <f t="shared" si="0"/>
        <v>12</v>
      </c>
      <c r="E12" s="12">
        <f t="shared" si="1"/>
        <v>5.8823529411764705E-2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CBB48-AEF3-422D-A4BC-5DCA3F54951C}">
  <dimension ref="A1:AQ10"/>
  <sheetViews>
    <sheetView workbookViewId="0">
      <selection activeCell="D11" sqref="D11"/>
    </sheetView>
  </sheetViews>
  <sheetFormatPr defaultRowHeight="15" x14ac:dyDescent="0.25"/>
  <cols>
    <col min="1" max="1" width="37" customWidth="1"/>
    <col min="3" max="3" width="14.28515625" customWidth="1"/>
    <col min="4" max="4" width="18.42578125" customWidth="1"/>
    <col min="5" max="5" width="21" customWidth="1"/>
    <col min="6" max="6" width="15.28515625" customWidth="1"/>
    <col min="7" max="7" width="12" customWidth="1"/>
    <col min="11" max="11" width="10.28515625" customWidth="1"/>
    <col min="12" max="12" width="11.140625" customWidth="1"/>
    <col min="13" max="13" width="11.28515625" customWidth="1"/>
    <col min="14" max="14" width="11" customWidth="1"/>
    <col min="15" max="15" width="11.85546875" customWidth="1"/>
    <col min="16" max="16" width="12.85546875" customWidth="1"/>
  </cols>
  <sheetData>
    <row r="1" spans="1:43" ht="59.25" customHeight="1" x14ac:dyDescent="0.3">
      <c r="A1" s="6" t="s">
        <v>12</v>
      </c>
      <c r="C1" s="5" t="s">
        <v>17</v>
      </c>
      <c r="D1" s="5" t="s">
        <v>10</v>
      </c>
      <c r="E1" s="5" t="s">
        <v>11</v>
      </c>
      <c r="F1" s="5" t="s">
        <v>16</v>
      </c>
      <c r="G1" s="5" t="s">
        <v>18</v>
      </c>
      <c r="H1" s="5" t="s">
        <v>19</v>
      </c>
      <c r="I1" s="5" t="s">
        <v>20</v>
      </c>
      <c r="J1" s="5" t="s">
        <v>21</v>
      </c>
      <c r="K1" s="5" t="s">
        <v>22</v>
      </c>
      <c r="L1" s="5" t="s">
        <v>23</v>
      </c>
      <c r="M1" s="5" t="s">
        <v>24</v>
      </c>
      <c r="N1" s="5" t="s">
        <v>25</v>
      </c>
      <c r="O1" s="5" t="s">
        <v>26</v>
      </c>
      <c r="P1" s="5" t="s">
        <v>28</v>
      </c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</row>
    <row r="2" spans="1:43" s="8" customFormat="1" x14ac:dyDescent="0.25"/>
    <row r="3" spans="1:43" x14ac:dyDescent="0.25">
      <c r="A3" s="4" t="s">
        <v>2</v>
      </c>
      <c r="C3" s="11">
        <f>SUM(D3:G3)</f>
        <v>191</v>
      </c>
      <c r="D3" s="11">
        <v>71</v>
      </c>
      <c r="E3" s="11">
        <v>116</v>
      </c>
      <c r="F3" s="11">
        <v>0</v>
      </c>
      <c r="G3" s="11">
        <v>4</v>
      </c>
      <c r="H3" s="11">
        <v>46</v>
      </c>
      <c r="I3" s="11">
        <v>17</v>
      </c>
      <c r="J3" s="11">
        <v>29</v>
      </c>
      <c r="K3" s="11">
        <v>0</v>
      </c>
      <c r="L3" s="11">
        <v>0</v>
      </c>
      <c r="M3" s="13">
        <f>(E3-J3)/C3</f>
        <v>0.45549738219895286</v>
      </c>
      <c r="N3" s="14">
        <f>(D3-I3)/C3</f>
        <v>0.28272251308900526</v>
      </c>
      <c r="O3" s="15">
        <v>0</v>
      </c>
      <c r="P3" s="14">
        <f>G3/C3</f>
        <v>2.0942408376963352E-2</v>
      </c>
    </row>
    <row r="4" spans="1:43" x14ac:dyDescent="0.25">
      <c r="A4" s="4" t="s">
        <v>3</v>
      </c>
      <c r="C4" s="11">
        <f>SUM(D4:G4)</f>
        <v>272</v>
      </c>
      <c r="D4" s="11">
        <v>79</v>
      </c>
      <c r="E4" s="11">
        <v>189</v>
      </c>
      <c r="F4" s="11">
        <v>0</v>
      </c>
      <c r="G4" s="11">
        <v>4</v>
      </c>
      <c r="H4" s="11">
        <v>39</v>
      </c>
      <c r="I4" s="11">
        <v>9</v>
      </c>
      <c r="J4" s="11">
        <v>30</v>
      </c>
      <c r="K4" s="11">
        <v>0</v>
      </c>
      <c r="L4" s="11">
        <v>0</v>
      </c>
      <c r="M4" s="13">
        <f>(E4-J4)/C4</f>
        <v>0.5845588235294118</v>
      </c>
      <c r="N4" s="14">
        <f>(D4-I4)/C4</f>
        <v>0.25735294117647056</v>
      </c>
      <c r="O4" s="15">
        <v>0</v>
      </c>
      <c r="P4" s="14">
        <f t="shared" ref="P4:P10" si="0">G4/C4</f>
        <v>1.4705882352941176E-2</v>
      </c>
    </row>
    <row r="5" spans="1:43" x14ac:dyDescent="0.25">
      <c r="A5" s="4" t="s">
        <v>4</v>
      </c>
      <c r="C5" s="11">
        <f>SUM(D5:G5)</f>
        <v>250</v>
      </c>
      <c r="D5" s="11">
        <v>114</v>
      </c>
      <c r="E5" s="11">
        <v>136</v>
      </c>
      <c r="F5" s="11">
        <v>0</v>
      </c>
      <c r="G5" s="11">
        <v>0</v>
      </c>
      <c r="H5" s="11">
        <v>99</v>
      </c>
      <c r="I5" s="11">
        <v>39</v>
      </c>
      <c r="J5" s="11">
        <v>60</v>
      </c>
      <c r="K5" s="11">
        <v>0</v>
      </c>
      <c r="L5" s="11">
        <v>0</v>
      </c>
      <c r="M5" s="13">
        <f>(E5-J5)/C5</f>
        <v>0.30399999999999999</v>
      </c>
      <c r="N5" s="14">
        <f>(D5-I5)/C5</f>
        <v>0.3</v>
      </c>
      <c r="O5" s="15">
        <v>0</v>
      </c>
      <c r="P5" s="14">
        <f t="shared" si="0"/>
        <v>0</v>
      </c>
    </row>
    <row r="6" spans="1:43" x14ac:dyDescent="0.25">
      <c r="A6" s="4" t="s">
        <v>5</v>
      </c>
      <c r="C6" s="11">
        <f t="shared" ref="C6:C10" si="1">SUM(D6:G6)</f>
        <v>206</v>
      </c>
      <c r="D6" s="11">
        <v>78</v>
      </c>
      <c r="E6" s="11">
        <v>124</v>
      </c>
      <c r="F6" s="11">
        <v>3</v>
      </c>
      <c r="G6" s="11">
        <v>1</v>
      </c>
      <c r="H6" s="11">
        <v>55</v>
      </c>
      <c r="I6" s="11">
        <v>18</v>
      </c>
      <c r="J6" s="11">
        <v>37</v>
      </c>
      <c r="K6" s="11">
        <v>0</v>
      </c>
      <c r="L6" s="11">
        <v>0</v>
      </c>
      <c r="M6" s="13">
        <f>(E6-J6)/C6</f>
        <v>0.42233009708737862</v>
      </c>
      <c r="N6" s="14">
        <f>(D6-I6)/C6</f>
        <v>0.29126213592233008</v>
      </c>
      <c r="O6" s="12">
        <f>F6/C6</f>
        <v>1.4563106796116505E-2</v>
      </c>
      <c r="P6" s="14">
        <f t="shared" si="0"/>
        <v>4.8543689320388345E-3</v>
      </c>
    </row>
    <row r="7" spans="1:43" x14ac:dyDescent="0.25">
      <c r="A7" s="4" t="s">
        <v>6</v>
      </c>
      <c r="C7" s="11">
        <f t="shared" si="1"/>
        <v>133</v>
      </c>
      <c r="D7" s="11">
        <v>45</v>
      </c>
      <c r="E7" s="11">
        <v>84</v>
      </c>
      <c r="F7" s="11">
        <v>4</v>
      </c>
      <c r="G7" s="11">
        <v>0</v>
      </c>
      <c r="H7" s="11">
        <v>96</v>
      </c>
      <c r="I7" s="11">
        <v>27</v>
      </c>
      <c r="J7" s="11">
        <v>68</v>
      </c>
      <c r="K7" s="11">
        <v>1</v>
      </c>
      <c r="L7" s="11">
        <v>0</v>
      </c>
      <c r="M7" s="13">
        <f>(E7-J7)/C7</f>
        <v>0.12030075187969924</v>
      </c>
      <c r="N7" s="14">
        <f>(D7-I7)/C7</f>
        <v>0.13533834586466165</v>
      </c>
      <c r="O7" s="12">
        <f>F7/C7</f>
        <v>3.007518796992481E-2</v>
      </c>
      <c r="P7" s="14">
        <f t="shared" si="0"/>
        <v>0</v>
      </c>
    </row>
    <row r="8" spans="1:43" x14ac:dyDescent="0.25">
      <c r="A8" s="4" t="s">
        <v>60</v>
      </c>
      <c r="C8" s="11">
        <f t="shared" si="1"/>
        <v>181</v>
      </c>
      <c r="D8" s="11">
        <v>84</v>
      </c>
      <c r="E8" s="11">
        <v>92</v>
      </c>
      <c r="F8" s="11">
        <v>3</v>
      </c>
      <c r="G8" s="11">
        <v>2</v>
      </c>
      <c r="H8" s="11">
        <v>43</v>
      </c>
      <c r="I8" s="11">
        <v>14</v>
      </c>
      <c r="J8" s="11">
        <v>28</v>
      </c>
      <c r="K8" s="11">
        <v>1</v>
      </c>
      <c r="L8" s="11">
        <v>0</v>
      </c>
      <c r="M8" s="13">
        <f>(E8-J8)/C8</f>
        <v>0.35359116022099446</v>
      </c>
      <c r="N8" s="14">
        <f>(D8-I8)/C8</f>
        <v>0.38674033149171272</v>
      </c>
      <c r="O8" s="12">
        <f>F8/C8</f>
        <v>1.6574585635359115E-2</v>
      </c>
      <c r="P8" s="14">
        <f t="shared" si="0"/>
        <v>1.1049723756906077E-2</v>
      </c>
    </row>
    <row r="9" spans="1:43" x14ac:dyDescent="0.25">
      <c r="A9" s="4" t="s">
        <v>7</v>
      </c>
      <c r="C9" s="11">
        <f t="shared" si="1"/>
        <v>226</v>
      </c>
      <c r="D9" s="11">
        <v>117</v>
      </c>
      <c r="E9" s="11">
        <v>109</v>
      </c>
      <c r="F9" s="11">
        <v>0</v>
      </c>
      <c r="G9" s="11">
        <v>0</v>
      </c>
      <c r="H9" s="11">
        <v>38</v>
      </c>
      <c r="I9" s="11">
        <v>20</v>
      </c>
      <c r="J9" s="11">
        <v>18</v>
      </c>
      <c r="K9" s="11">
        <v>0</v>
      </c>
      <c r="L9" s="11">
        <v>0</v>
      </c>
      <c r="M9" s="13">
        <f t="shared" ref="M9:M10" si="2">(E9-J9)/C9</f>
        <v>0.40265486725663718</v>
      </c>
      <c r="N9" s="14">
        <f t="shared" ref="N9:N10" si="3">(D9-I9)/C9</f>
        <v>0.42920353982300885</v>
      </c>
      <c r="O9" s="12">
        <f t="shared" ref="O9:O10" si="4">F9/C9</f>
        <v>0</v>
      </c>
      <c r="P9" s="14">
        <f t="shared" si="0"/>
        <v>0</v>
      </c>
    </row>
    <row r="10" spans="1:43" x14ac:dyDescent="0.25">
      <c r="A10" s="4" t="s">
        <v>27</v>
      </c>
      <c r="C10" s="11">
        <f t="shared" si="1"/>
        <v>192</v>
      </c>
      <c r="D10" s="11">
        <v>101</v>
      </c>
      <c r="E10" s="11">
        <v>91</v>
      </c>
      <c r="F10" s="11">
        <v>0</v>
      </c>
      <c r="G10" s="11">
        <v>0</v>
      </c>
      <c r="H10" s="11">
        <v>26</v>
      </c>
      <c r="I10" s="11">
        <v>15</v>
      </c>
      <c r="J10" s="11">
        <v>11</v>
      </c>
      <c r="K10" s="11">
        <v>0</v>
      </c>
      <c r="L10" s="11">
        <v>0</v>
      </c>
      <c r="M10" s="13">
        <f t="shared" si="2"/>
        <v>0.41666666666666669</v>
      </c>
      <c r="N10" s="14">
        <f t="shared" si="3"/>
        <v>0.44791666666666669</v>
      </c>
      <c r="O10" s="12">
        <f t="shared" si="4"/>
        <v>0</v>
      </c>
      <c r="P10" s="14">
        <f t="shared" si="0"/>
        <v>0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1BD2A-5B03-428D-BEFA-E927416C496F}">
  <dimension ref="A1:P10"/>
  <sheetViews>
    <sheetView workbookViewId="0">
      <selection activeCell="A16" sqref="A16"/>
    </sheetView>
  </sheetViews>
  <sheetFormatPr defaultRowHeight="15" x14ac:dyDescent="0.25"/>
  <cols>
    <col min="1" max="1" width="37.5703125" bestFit="1" customWidth="1"/>
    <col min="6" max="6" width="12" customWidth="1"/>
    <col min="7" max="7" width="10.85546875" customWidth="1"/>
    <col min="11" max="11" width="11.7109375" customWidth="1"/>
    <col min="12" max="12" width="12" customWidth="1"/>
    <col min="13" max="13" width="11" customWidth="1"/>
    <col min="14" max="15" width="11.85546875" customWidth="1"/>
    <col min="16" max="16" width="12.7109375" customWidth="1"/>
  </cols>
  <sheetData>
    <row r="1" spans="1:16" s="11" customFormat="1" ht="60.75" x14ac:dyDescent="0.3">
      <c r="A1" s="18" t="s">
        <v>12</v>
      </c>
      <c r="C1" s="17" t="s">
        <v>17</v>
      </c>
      <c r="D1" s="17" t="s">
        <v>10</v>
      </c>
      <c r="E1" s="17" t="s">
        <v>11</v>
      </c>
      <c r="F1" s="17" t="s">
        <v>16</v>
      </c>
      <c r="G1" s="17" t="s">
        <v>18</v>
      </c>
      <c r="H1" s="17" t="s">
        <v>19</v>
      </c>
      <c r="I1" s="17" t="s">
        <v>20</v>
      </c>
      <c r="J1" s="17" t="s">
        <v>21</v>
      </c>
      <c r="K1" s="17" t="s">
        <v>22</v>
      </c>
      <c r="L1" s="17" t="s">
        <v>23</v>
      </c>
      <c r="M1" s="17" t="s">
        <v>24</v>
      </c>
      <c r="N1" s="17" t="s">
        <v>25</v>
      </c>
      <c r="O1" s="17" t="s">
        <v>26</v>
      </c>
      <c r="P1" s="17" t="s">
        <v>28</v>
      </c>
    </row>
    <row r="2" spans="1:16" s="8" customFormat="1" x14ac:dyDescent="0.25"/>
    <row r="3" spans="1:16" x14ac:dyDescent="0.25">
      <c r="A3" s="4" t="s">
        <v>2</v>
      </c>
      <c r="C3" s="11">
        <f>SUM(D3:E3,G3)</f>
        <v>202</v>
      </c>
      <c r="D3" s="11">
        <v>84</v>
      </c>
      <c r="E3" s="11">
        <v>117</v>
      </c>
      <c r="F3" s="11">
        <v>0</v>
      </c>
      <c r="G3" s="11">
        <v>1</v>
      </c>
      <c r="H3" s="11">
        <v>49</v>
      </c>
      <c r="I3" s="11">
        <v>21</v>
      </c>
      <c r="J3" s="11">
        <v>28</v>
      </c>
      <c r="K3" s="11">
        <v>0</v>
      </c>
      <c r="L3" s="11">
        <v>0</v>
      </c>
      <c r="M3" s="14">
        <f>(E3-J3)/C3</f>
        <v>0.4405940594059406</v>
      </c>
      <c r="N3" s="14">
        <f>(D3-I3)/C3</f>
        <v>0.31188118811881188</v>
      </c>
      <c r="O3" s="15">
        <v>0</v>
      </c>
      <c r="P3" s="16">
        <f>G3/C3</f>
        <v>4.9504950495049506E-3</v>
      </c>
    </row>
    <row r="4" spans="1:16" x14ac:dyDescent="0.25">
      <c r="A4" s="4" t="s">
        <v>3</v>
      </c>
      <c r="C4" s="11">
        <f t="shared" ref="C4:C10" si="0">SUM(D4:E4,G4)</f>
        <v>241</v>
      </c>
      <c r="D4" s="11">
        <v>90</v>
      </c>
      <c r="E4" s="11">
        <v>151</v>
      </c>
      <c r="F4" s="11">
        <v>0</v>
      </c>
      <c r="G4" s="11">
        <v>0</v>
      </c>
      <c r="H4" s="11">
        <v>37</v>
      </c>
      <c r="I4" s="11">
        <v>8</v>
      </c>
      <c r="J4" s="11">
        <v>29</v>
      </c>
      <c r="K4" s="11">
        <v>0</v>
      </c>
      <c r="L4" s="11">
        <v>0</v>
      </c>
      <c r="M4" s="14">
        <f t="shared" ref="M4:M10" si="1">(E4-J4)/C4</f>
        <v>0.50622406639004147</v>
      </c>
      <c r="N4" s="14">
        <f t="shared" ref="N4:N10" si="2">(D4-I4)/C4</f>
        <v>0.34024896265560167</v>
      </c>
      <c r="O4" s="15">
        <v>0</v>
      </c>
      <c r="P4" s="16">
        <f t="shared" ref="P4:P10" si="3">G4/C4</f>
        <v>0</v>
      </c>
    </row>
    <row r="5" spans="1:16" x14ac:dyDescent="0.25">
      <c r="A5" s="4" t="s">
        <v>4</v>
      </c>
      <c r="C5" s="11">
        <f>SUM(D5:G5)</f>
        <v>227</v>
      </c>
      <c r="D5" s="11">
        <v>107</v>
      </c>
      <c r="E5" s="11">
        <v>115</v>
      </c>
      <c r="F5" s="11">
        <v>5</v>
      </c>
      <c r="G5" s="11">
        <v>0</v>
      </c>
      <c r="H5" s="11">
        <v>83</v>
      </c>
      <c r="I5" s="11">
        <v>37</v>
      </c>
      <c r="J5" s="11">
        <v>44</v>
      </c>
      <c r="K5" s="11">
        <v>2</v>
      </c>
      <c r="L5" s="11">
        <v>0</v>
      </c>
      <c r="M5" s="14">
        <f t="shared" si="1"/>
        <v>0.31277533039647576</v>
      </c>
      <c r="N5" s="14">
        <f t="shared" si="2"/>
        <v>0.30837004405286345</v>
      </c>
      <c r="O5" s="15">
        <f>F5/C5</f>
        <v>2.2026431718061675E-2</v>
      </c>
      <c r="P5" s="16">
        <f t="shared" si="3"/>
        <v>0</v>
      </c>
    </row>
    <row r="6" spans="1:16" x14ac:dyDescent="0.25">
      <c r="A6" s="4" t="s">
        <v>5</v>
      </c>
      <c r="C6" s="11">
        <f>SUM(D6:E6,F6:G6)</f>
        <v>228</v>
      </c>
      <c r="D6" s="11">
        <v>78</v>
      </c>
      <c r="E6" s="11">
        <v>149</v>
      </c>
      <c r="F6" s="11">
        <v>1</v>
      </c>
      <c r="G6" s="11">
        <v>0</v>
      </c>
      <c r="H6" s="11">
        <v>79</v>
      </c>
      <c r="I6" s="11">
        <v>17</v>
      </c>
      <c r="J6" s="11">
        <v>61</v>
      </c>
      <c r="K6" s="11">
        <v>1</v>
      </c>
      <c r="L6" s="11">
        <v>0</v>
      </c>
      <c r="M6" s="14">
        <f t="shared" si="1"/>
        <v>0.38596491228070173</v>
      </c>
      <c r="N6" s="14">
        <f t="shared" si="2"/>
        <v>0.26754385964912281</v>
      </c>
      <c r="O6" s="15">
        <f t="shared" ref="O6:O10" si="4">F6/C6</f>
        <v>4.3859649122807015E-3</v>
      </c>
      <c r="P6" s="16">
        <f t="shared" si="3"/>
        <v>0</v>
      </c>
    </row>
    <row r="7" spans="1:16" x14ac:dyDescent="0.25">
      <c r="A7" s="5" t="s">
        <v>6</v>
      </c>
      <c r="C7" s="11">
        <f>SUM(D7:E7,F7:G7)</f>
        <v>133</v>
      </c>
      <c r="D7" s="11">
        <v>38</v>
      </c>
      <c r="E7" s="11">
        <v>94</v>
      </c>
      <c r="F7" s="11">
        <v>1</v>
      </c>
      <c r="G7" s="11">
        <v>0</v>
      </c>
      <c r="H7" s="11">
        <v>105</v>
      </c>
      <c r="I7" s="11">
        <v>24</v>
      </c>
      <c r="J7" s="11">
        <v>80</v>
      </c>
      <c r="K7" s="11">
        <v>1</v>
      </c>
      <c r="L7" s="11">
        <v>0</v>
      </c>
      <c r="M7" s="14">
        <f t="shared" si="1"/>
        <v>0.10526315789473684</v>
      </c>
      <c r="N7" s="14">
        <f t="shared" si="2"/>
        <v>0.10526315789473684</v>
      </c>
      <c r="O7" s="15">
        <f t="shared" si="4"/>
        <v>7.5187969924812026E-3</v>
      </c>
      <c r="P7" s="16">
        <f t="shared" si="3"/>
        <v>0</v>
      </c>
    </row>
    <row r="8" spans="1:16" x14ac:dyDescent="0.25">
      <c r="A8" s="4" t="s">
        <v>60</v>
      </c>
      <c r="C8" s="11">
        <f>SUM(D8:E8,F8:G8)</f>
        <v>181</v>
      </c>
      <c r="D8" s="11">
        <v>85</v>
      </c>
      <c r="E8" s="11">
        <v>92</v>
      </c>
      <c r="F8" s="11">
        <v>4</v>
      </c>
      <c r="G8" s="11">
        <v>0</v>
      </c>
      <c r="H8" s="11">
        <v>42</v>
      </c>
      <c r="I8" s="11">
        <v>18</v>
      </c>
      <c r="J8" s="11">
        <v>23</v>
      </c>
      <c r="K8" s="11">
        <v>1</v>
      </c>
      <c r="L8" s="11">
        <v>0</v>
      </c>
      <c r="M8" s="14">
        <f t="shared" si="1"/>
        <v>0.38121546961325969</v>
      </c>
      <c r="N8" s="14">
        <f t="shared" si="2"/>
        <v>0.37016574585635359</v>
      </c>
      <c r="O8" s="15">
        <f t="shared" si="4"/>
        <v>2.2099447513812154E-2</v>
      </c>
      <c r="P8" s="16">
        <f t="shared" si="3"/>
        <v>0</v>
      </c>
    </row>
    <row r="9" spans="1:16" x14ac:dyDescent="0.25">
      <c r="A9" s="4" t="s">
        <v>7</v>
      </c>
      <c r="C9" s="11">
        <f t="shared" si="0"/>
        <v>221</v>
      </c>
      <c r="D9" s="11">
        <v>121</v>
      </c>
      <c r="E9" s="11">
        <v>100</v>
      </c>
      <c r="F9" s="11">
        <v>0</v>
      </c>
      <c r="G9" s="11">
        <v>0</v>
      </c>
      <c r="H9" s="11">
        <v>32</v>
      </c>
      <c r="I9" s="11">
        <v>16</v>
      </c>
      <c r="J9" s="11">
        <v>16</v>
      </c>
      <c r="K9" s="11">
        <v>0</v>
      </c>
      <c r="L9" s="11">
        <v>0</v>
      </c>
      <c r="M9" s="14">
        <f t="shared" si="1"/>
        <v>0.38009049773755654</v>
      </c>
      <c r="N9" s="14">
        <f t="shared" si="2"/>
        <v>0.47511312217194568</v>
      </c>
      <c r="O9" s="15">
        <f t="shared" si="4"/>
        <v>0</v>
      </c>
      <c r="P9" s="16">
        <f t="shared" si="3"/>
        <v>0</v>
      </c>
    </row>
    <row r="10" spans="1:16" x14ac:dyDescent="0.25">
      <c r="A10" s="4" t="s">
        <v>27</v>
      </c>
      <c r="C10" s="11">
        <f t="shared" si="0"/>
        <v>203</v>
      </c>
      <c r="D10" s="11">
        <v>101</v>
      </c>
      <c r="E10" s="11">
        <v>101</v>
      </c>
      <c r="F10" s="11">
        <v>1</v>
      </c>
      <c r="G10" s="11">
        <v>1</v>
      </c>
      <c r="H10" s="11">
        <v>37</v>
      </c>
      <c r="I10" s="11">
        <v>19</v>
      </c>
      <c r="J10" s="11">
        <v>18</v>
      </c>
      <c r="K10" s="11">
        <v>0</v>
      </c>
      <c r="L10" s="11">
        <v>0</v>
      </c>
      <c r="M10" s="14">
        <f t="shared" si="1"/>
        <v>0.40886699507389163</v>
      </c>
      <c r="N10" s="14">
        <f t="shared" si="2"/>
        <v>0.4039408866995074</v>
      </c>
      <c r="O10" s="15">
        <f t="shared" si="4"/>
        <v>4.9261083743842365E-3</v>
      </c>
      <c r="P10" s="16">
        <f t="shared" si="3"/>
        <v>4.9261083743842365E-3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FE1BC-DF91-4C76-97D6-9110005416D9}">
  <dimension ref="A1:AJ40"/>
  <sheetViews>
    <sheetView workbookViewId="0">
      <selection activeCell="C21" sqref="C21"/>
    </sheetView>
  </sheetViews>
  <sheetFormatPr defaultRowHeight="15" x14ac:dyDescent="0.25"/>
  <cols>
    <col min="1" max="1" width="38.5703125" customWidth="1"/>
    <col min="2" max="2" width="15.28515625" customWidth="1"/>
    <col min="3" max="4" width="15.140625" customWidth="1"/>
    <col min="5" max="5" width="17.5703125" customWidth="1"/>
    <col min="6" max="7" width="18.140625" customWidth="1"/>
    <col min="8" max="8" width="15.42578125" customWidth="1"/>
    <col min="9" max="10" width="14.5703125" customWidth="1"/>
    <col min="11" max="11" width="11.7109375" customWidth="1"/>
    <col min="12" max="13" width="11.42578125" customWidth="1"/>
    <col min="14" max="14" width="11" customWidth="1"/>
    <col min="15" max="16" width="11.5703125" customWidth="1"/>
    <col min="17" max="17" width="13.28515625" customWidth="1"/>
    <col min="18" max="18" width="11.85546875" customWidth="1"/>
    <col min="19" max="19" width="12.140625" customWidth="1"/>
    <col min="20" max="20" width="12.85546875" customWidth="1"/>
    <col min="21" max="21" width="13.7109375" customWidth="1"/>
    <col min="22" max="22" width="14.7109375" customWidth="1"/>
    <col min="23" max="23" width="15.42578125" customWidth="1"/>
    <col min="24" max="24" width="15" customWidth="1"/>
    <col min="25" max="25" width="13.5703125" customWidth="1"/>
    <col min="26" max="26" width="15.140625" customWidth="1"/>
    <col min="27" max="27" width="12.7109375" customWidth="1"/>
    <col min="28" max="28" width="17.5703125" customWidth="1"/>
    <col min="29" max="29" width="16.5703125" customWidth="1"/>
    <col min="30" max="30" width="13.28515625" customWidth="1"/>
    <col min="31" max="31" width="15.140625" customWidth="1"/>
    <col min="32" max="32" width="16.42578125" customWidth="1"/>
    <col min="33" max="33" width="12.5703125" customWidth="1"/>
    <col min="34" max="35" width="14" bestFit="1" customWidth="1"/>
    <col min="36" max="36" width="11.28515625" customWidth="1"/>
  </cols>
  <sheetData>
    <row r="1" spans="1:36" ht="47.25" customHeight="1" x14ac:dyDescent="0.3">
      <c r="A1" s="6" t="s">
        <v>12</v>
      </c>
      <c r="B1" s="17" t="s">
        <v>29</v>
      </c>
      <c r="C1" s="17" t="s">
        <v>30</v>
      </c>
      <c r="D1" s="17" t="s">
        <v>49</v>
      </c>
      <c r="E1" s="17" t="s">
        <v>31</v>
      </c>
      <c r="F1" s="17" t="s">
        <v>32</v>
      </c>
      <c r="G1" s="17" t="s">
        <v>49</v>
      </c>
      <c r="H1" s="17" t="s">
        <v>33</v>
      </c>
      <c r="I1" s="17" t="s">
        <v>34</v>
      </c>
      <c r="J1" s="17" t="s">
        <v>49</v>
      </c>
      <c r="K1" s="17" t="s">
        <v>35</v>
      </c>
      <c r="L1" s="17" t="s">
        <v>36</v>
      </c>
      <c r="M1" s="17" t="s">
        <v>49</v>
      </c>
      <c r="N1" s="17" t="s">
        <v>37</v>
      </c>
      <c r="O1" s="17" t="s">
        <v>38</v>
      </c>
      <c r="P1" s="17" t="s">
        <v>49</v>
      </c>
      <c r="Q1" s="17" t="s">
        <v>39</v>
      </c>
      <c r="R1" s="17" t="s">
        <v>40</v>
      </c>
      <c r="S1" s="17" t="s">
        <v>41</v>
      </c>
      <c r="T1" s="17" t="s">
        <v>42</v>
      </c>
      <c r="U1" s="17" t="s">
        <v>43</v>
      </c>
      <c r="V1" s="17" t="s">
        <v>44</v>
      </c>
      <c r="W1" s="17" t="s">
        <v>45</v>
      </c>
      <c r="X1" s="17" t="s">
        <v>46</v>
      </c>
      <c r="Y1" s="17" t="s">
        <v>47</v>
      </c>
      <c r="Z1" s="17" t="s">
        <v>48</v>
      </c>
      <c r="AA1" s="17" t="s">
        <v>49</v>
      </c>
      <c r="AB1" s="17" t="s">
        <v>50</v>
      </c>
      <c r="AC1" s="17" t="s">
        <v>51</v>
      </c>
      <c r="AD1" s="17" t="s">
        <v>49</v>
      </c>
      <c r="AE1" s="17" t="s">
        <v>52</v>
      </c>
      <c r="AF1" s="17" t="s">
        <v>53</v>
      </c>
      <c r="AG1" s="17" t="s">
        <v>49</v>
      </c>
      <c r="AH1" s="17" t="s">
        <v>54</v>
      </c>
      <c r="AI1" s="17" t="s">
        <v>55</v>
      </c>
      <c r="AJ1" s="17" t="s">
        <v>49</v>
      </c>
    </row>
    <row r="2" spans="1:36" s="8" customFormat="1" x14ac:dyDescent="0.25"/>
    <row r="3" spans="1:36" x14ac:dyDescent="0.25">
      <c r="A3" s="4" t="s">
        <v>2</v>
      </c>
      <c r="B3" s="11">
        <v>71</v>
      </c>
      <c r="C3" s="11">
        <v>84</v>
      </c>
      <c r="D3" s="12">
        <f>(C3-B3)/B3</f>
        <v>0.18309859154929578</v>
      </c>
      <c r="E3" s="11">
        <v>116</v>
      </c>
      <c r="F3" s="11">
        <v>117</v>
      </c>
      <c r="G3" s="12">
        <f>(F3-E3)/E3</f>
        <v>8.6206896551724137E-3</v>
      </c>
      <c r="H3" s="11">
        <v>0</v>
      </c>
      <c r="I3" s="11">
        <v>0</v>
      </c>
      <c r="J3" s="15">
        <v>0</v>
      </c>
      <c r="K3" s="11">
        <v>4</v>
      </c>
      <c r="L3" s="11">
        <v>1</v>
      </c>
      <c r="M3" s="13">
        <f>(L3-K3)/K3</f>
        <v>-0.75</v>
      </c>
      <c r="N3" s="11">
        <v>46</v>
      </c>
      <c r="O3" s="11">
        <v>49</v>
      </c>
      <c r="P3" s="12">
        <f>(O3-N3)/N3</f>
        <v>6.5217391304347824E-2</v>
      </c>
      <c r="Q3" s="11">
        <v>17</v>
      </c>
      <c r="R3" s="11">
        <v>21</v>
      </c>
      <c r="S3" s="11">
        <v>29</v>
      </c>
      <c r="T3" s="11">
        <v>28</v>
      </c>
      <c r="U3" s="11">
        <v>0</v>
      </c>
      <c r="V3" s="11">
        <v>0</v>
      </c>
      <c r="W3" s="11">
        <v>0</v>
      </c>
      <c r="X3" s="11">
        <v>0</v>
      </c>
      <c r="Y3" s="15">
        <v>0.28000000000000003</v>
      </c>
      <c r="Z3" s="15">
        <v>0.31</v>
      </c>
      <c r="AA3" s="19">
        <f>(Z3-Y3)/Y3</f>
        <v>0.10714285714285703</v>
      </c>
      <c r="AB3" s="15">
        <v>0.46</v>
      </c>
      <c r="AC3" s="15">
        <v>0.44</v>
      </c>
      <c r="AD3" s="20">
        <f>(AC3-AB3)/AB3</f>
        <v>-4.3478260869565251E-2</v>
      </c>
      <c r="AE3" s="15">
        <v>0</v>
      </c>
      <c r="AF3" s="15">
        <v>0</v>
      </c>
      <c r="AG3" s="15">
        <v>0</v>
      </c>
      <c r="AH3" s="15">
        <v>0</v>
      </c>
      <c r="AI3" s="15">
        <v>0</v>
      </c>
      <c r="AJ3" s="15">
        <v>0</v>
      </c>
    </row>
    <row r="4" spans="1:36" x14ac:dyDescent="0.25">
      <c r="A4" s="4" t="s">
        <v>3</v>
      </c>
      <c r="B4" s="11">
        <v>79</v>
      </c>
      <c r="C4" s="11">
        <v>90</v>
      </c>
      <c r="D4" s="14">
        <f t="shared" ref="D4:D10" si="0">(C4-B4)/B4</f>
        <v>0.13924050632911392</v>
      </c>
      <c r="E4" s="11">
        <v>189</v>
      </c>
      <c r="F4" s="11">
        <v>151</v>
      </c>
      <c r="G4" s="14">
        <f t="shared" ref="G4:G10" si="1">(F4-E4)/E4</f>
        <v>-0.20105820105820105</v>
      </c>
      <c r="H4" s="11">
        <v>0</v>
      </c>
      <c r="I4" s="11">
        <v>0</v>
      </c>
      <c r="J4" s="15">
        <v>0</v>
      </c>
      <c r="K4" s="11">
        <v>4</v>
      </c>
      <c r="L4" s="11">
        <v>0</v>
      </c>
      <c r="M4" s="14">
        <f t="shared" ref="M4:M10" si="2">(L4-K4)/K4</f>
        <v>-1</v>
      </c>
      <c r="N4" s="11">
        <v>39</v>
      </c>
      <c r="O4" s="11">
        <v>37</v>
      </c>
      <c r="P4" s="12">
        <f t="shared" ref="P4:P10" si="3">(O4-N4)/N4</f>
        <v>-5.128205128205128E-2</v>
      </c>
      <c r="Q4" s="11">
        <v>9</v>
      </c>
      <c r="R4" s="11">
        <v>8</v>
      </c>
      <c r="S4" s="11">
        <v>30</v>
      </c>
      <c r="T4" s="11">
        <v>29</v>
      </c>
      <c r="U4" s="11">
        <v>0</v>
      </c>
      <c r="V4" s="11">
        <v>0</v>
      </c>
      <c r="W4" s="11">
        <v>0</v>
      </c>
      <c r="X4" s="11">
        <v>0</v>
      </c>
      <c r="Y4" s="15">
        <v>0.26</v>
      </c>
      <c r="Z4" s="15">
        <v>0.34</v>
      </c>
      <c r="AA4" s="19">
        <f t="shared" ref="AA4:AA10" si="4">(Z4-Y4)/Y4</f>
        <v>0.30769230769230776</v>
      </c>
      <c r="AB4" s="15">
        <v>0.57999999999999996</v>
      </c>
      <c r="AC4" s="15">
        <v>0.51</v>
      </c>
      <c r="AD4" s="20">
        <f t="shared" ref="AD4:AD10" si="5">(AC4-AB4)/AB4</f>
        <v>-0.12068965517241372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</row>
    <row r="5" spans="1:36" x14ac:dyDescent="0.25">
      <c r="A5" s="4" t="s">
        <v>4</v>
      </c>
      <c r="B5" s="11">
        <v>114</v>
      </c>
      <c r="C5" s="11">
        <v>107</v>
      </c>
      <c r="D5" s="14">
        <f t="shared" si="0"/>
        <v>-6.1403508771929821E-2</v>
      </c>
      <c r="E5" s="11">
        <v>136</v>
      </c>
      <c r="F5" s="11">
        <v>115</v>
      </c>
      <c r="G5" s="14">
        <f t="shared" si="1"/>
        <v>-0.15441176470588236</v>
      </c>
      <c r="H5" s="11">
        <v>0</v>
      </c>
      <c r="I5" s="11">
        <v>5</v>
      </c>
      <c r="J5" s="15" t="s">
        <v>56</v>
      </c>
      <c r="K5" s="11">
        <v>0</v>
      </c>
      <c r="L5" s="11">
        <v>0</v>
      </c>
      <c r="M5" s="14">
        <v>0</v>
      </c>
      <c r="N5" s="11">
        <v>99</v>
      </c>
      <c r="O5" s="11">
        <v>83</v>
      </c>
      <c r="P5" s="12">
        <f t="shared" si="3"/>
        <v>-0.16161616161616163</v>
      </c>
      <c r="Q5" s="11">
        <v>39</v>
      </c>
      <c r="R5" s="11">
        <v>37</v>
      </c>
      <c r="S5" s="11">
        <v>60</v>
      </c>
      <c r="T5" s="11">
        <v>44</v>
      </c>
      <c r="U5" s="11">
        <v>0</v>
      </c>
      <c r="V5" s="11">
        <v>2</v>
      </c>
      <c r="W5" s="11">
        <v>0</v>
      </c>
      <c r="X5" s="11">
        <v>0</v>
      </c>
      <c r="Y5" s="15">
        <v>0.3</v>
      </c>
      <c r="Z5" s="15">
        <v>0.31</v>
      </c>
      <c r="AA5" s="20">
        <f t="shared" si="4"/>
        <v>3.3333333333333368E-2</v>
      </c>
      <c r="AB5" s="15">
        <v>0.3</v>
      </c>
      <c r="AC5" s="15">
        <v>0.31</v>
      </c>
      <c r="AD5" s="20">
        <f t="shared" si="5"/>
        <v>3.3333333333333368E-2</v>
      </c>
      <c r="AE5" s="15">
        <v>0</v>
      </c>
      <c r="AF5" s="15">
        <v>0.02</v>
      </c>
      <c r="AG5" s="11" t="s">
        <v>56</v>
      </c>
      <c r="AH5" s="15">
        <v>0</v>
      </c>
      <c r="AI5" s="15">
        <v>0</v>
      </c>
      <c r="AJ5" s="15">
        <v>0</v>
      </c>
    </row>
    <row r="6" spans="1:36" x14ac:dyDescent="0.25">
      <c r="A6" s="4" t="s">
        <v>5</v>
      </c>
      <c r="B6" s="11">
        <v>78</v>
      </c>
      <c r="C6" s="11">
        <v>78</v>
      </c>
      <c r="D6" s="14">
        <f t="shared" si="0"/>
        <v>0</v>
      </c>
      <c r="E6" s="11">
        <v>124</v>
      </c>
      <c r="F6" s="11">
        <v>149</v>
      </c>
      <c r="G6" s="14">
        <f t="shared" si="1"/>
        <v>0.20161290322580644</v>
      </c>
      <c r="H6" s="11">
        <v>3</v>
      </c>
      <c r="I6" s="11">
        <v>1</v>
      </c>
      <c r="J6" s="12">
        <f>(I6-H6)/H6</f>
        <v>-0.66666666666666663</v>
      </c>
      <c r="K6" s="11">
        <v>1</v>
      </c>
      <c r="L6" s="11">
        <v>0</v>
      </c>
      <c r="M6" s="14">
        <f t="shared" si="2"/>
        <v>-1</v>
      </c>
      <c r="N6" s="11">
        <v>55</v>
      </c>
      <c r="O6" s="11">
        <v>79</v>
      </c>
      <c r="P6" s="12">
        <f t="shared" si="3"/>
        <v>0.43636363636363634</v>
      </c>
      <c r="Q6" s="11">
        <v>18</v>
      </c>
      <c r="R6" s="11">
        <v>17</v>
      </c>
      <c r="S6" s="11">
        <v>37</v>
      </c>
      <c r="T6" s="11">
        <v>61</v>
      </c>
      <c r="U6" s="11">
        <v>0</v>
      </c>
      <c r="V6" s="11">
        <v>1</v>
      </c>
      <c r="W6" s="11">
        <v>0</v>
      </c>
      <c r="X6" s="11">
        <v>0</v>
      </c>
      <c r="Y6" s="15">
        <v>0.28999999999999998</v>
      </c>
      <c r="Z6" s="15">
        <v>0.27</v>
      </c>
      <c r="AA6" s="19">
        <f t="shared" si="4"/>
        <v>-6.8965517241379184E-2</v>
      </c>
      <c r="AB6" s="15">
        <v>0.42</v>
      </c>
      <c r="AC6" s="15">
        <v>0.39</v>
      </c>
      <c r="AD6" s="20">
        <f t="shared" si="5"/>
        <v>-7.1428571428571369E-2</v>
      </c>
      <c r="AE6" s="20">
        <v>1.46E-2</v>
      </c>
      <c r="AF6" s="15">
        <v>0</v>
      </c>
      <c r="AG6" s="11" t="s">
        <v>56</v>
      </c>
      <c r="AH6" s="15">
        <v>0</v>
      </c>
      <c r="AI6" s="15">
        <v>0</v>
      </c>
      <c r="AJ6" s="15">
        <v>0</v>
      </c>
    </row>
    <row r="7" spans="1:36" x14ac:dyDescent="0.25">
      <c r="A7" s="4" t="s">
        <v>6</v>
      </c>
      <c r="B7" s="11">
        <v>45</v>
      </c>
      <c r="C7" s="11">
        <v>38</v>
      </c>
      <c r="D7" s="14">
        <f t="shared" si="0"/>
        <v>-0.15555555555555556</v>
      </c>
      <c r="E7" s="11">
        <v>84</v>
      </c>
      <c r="F7" s="11">
        <v>94</v>
      </c>
      <c r="G7" s="14">
        <f t="shared" si="1"/>
        <v>0.11904761904761904</v>
      </c>
      <c r="H7" s="11">
        <v>4</v>
      </c>
      <c r="I7" s="11">
        <v>1</v>
      </c>
      <c r="J7" s="12">
        <f>(I7-H7)/H7</f>
        <v>-0.75</v>
      </c>
      <c r="K7" s="11">
        <v>0</v>
      </c>
      <c r="L7" s="11">
        <v>0</v>
      </c>
      <c r="M7" s="14">
        <v>0</v>
      </c>
      <c r="N7" s="11">
        <v>96</v>
      </c>
      <c r="O7" s="11">
        <v>105</v>
      </c>
      <c r="P7" s="12">
        <f t="shared" si="3"/>
        <v>9.375E-2</v>
      </c>
      <c r="Q7" s="11">
        <v>27</v>
      </c>
      <c r="R7" s="11">
        <v>24</v>
      </c>
      <c r="S7" s="11">
        <v>68</v>
      </c>
      <c r="T7" s="11">
        <v>80</v>
      </c>
      <c r="U7" s="11">
        <v>1</v>
      </c>
      <c r="V7" s="11">
        <v>1</v>
      </c>
      <c r="W7" s="11">
        <v>0</v>
      </c>
      <c r="X7" s="11">
        <v>0</v>
      </c>
      <c r="Y7" s="15">
        <v>0.14000000000000001</v>
      </c>
      <c r="Z7" s="15">
        <v>0.11</v>
      </c>
      <c r="AA7" s="19">
        <f t="shared" si="4"/>
        <v>-0.21428571428571436</v>
      </c>
      <c r="AB7" s="15">
        <v>0.12</v>
      </c>
      <c r="AC7" s="15">
        <v>0.11</v>
      </c>
      <c r="AD7" s="20">
        <f t="shared" si="5"/>
        <v>-8.3333333333333301E-2</v>
      </c>
      <c r="AE7" s="20">
        <v>3.0099999999999998E-2</v>
      </c>
      <c r="AF7" s="15">
        <v>0.01</v>
      </c>
      <c r="AG7" s="20">
        <f>(AF7-AE7)/AE7</f>
        <v>-0.66777408637873759</v>
      </c>
      <c r="AH7" s="15">
        <v>0</v>
      </c>
      <c r="AI7" s="15">
        <v>0</v>
      </c>
      <c r="AJ7" s="15">
        <v>0</v>
      </c>
    </row>
    <row r="8" spans="1:36" x14ac:dyDescent="0.25">
      <c r="A8" s="4" t="s">
        <v>60</v>
      </c>
      <c r="B8" s="11">
        <v>84</v>
      </c>
      <c r="C8" s="11">
        <v>85</v>
      </c>
      <c r="D8" s="14">
        <f t="shared" si="0"/>
        <v>1.1904761904761904E-2</v>
      </c>
      <c r="E8" s="11">
        <v>92</v>
      </c>
      <c r="F8" s="11">
        <v>92</v>
      </c>
      <c r="G8" s="14">
        <f t="shared" si="1"/>
        <v>0</v>
      </c>
      <c r="H8" s="11">
        <v>3</v>
      </c>
      <c r="I8" s="11">
        <v>4</v>
      </c>
      <c r="J8" s="12">
        <f>(I8-H8)/H8</f>
        <v>0.33333333333333331</v>
      </c>
      <c r="K8" s="11">
        <v>2</v>
      </c>
      <c r="L8" s="11">
        <v>0</v>
      </c>
      <c r="M8" s="14">
        <f t="shared" si="2"/>
        <v>-1</v>
      </c>
      <c r="N8" s="11">
        <v>43</v>
      </c>
      <c r="O8" s="11">
        <v>42</v>
      </c>
      <c r="P8" s="12">
        <f t="shared" si="3"/>
        <v>-2.3255813953488372E-2</v>
      </c>
      <c r="Q8" s="11">
        <v>14</v>
      </c>
      <c r="R8" s="11">
        <v>18</v>
      </c>
      <c r="S8" s="11">
        <v>28</v>
      </c>
      <c r="T8" s="11">
        <v>23</v>
      </c>
      <c r="U8" s="11">
        <v>1</v>
      </c>
      <c r="V8" s="11">
        <v>1</v>
      </c>
      <c r="W8" s="11">
        <v>0</v>
      </c>
      <c r="X8" s="11">
        <v>0</v>
      </c>
      <c r="Y8" s="15">
        <v>0.39</v>
      </c>
      <c r="Z8" s="15">
        <v>0.37</v>
      </c>
      <c r="AA8" s="19">
        <f t="shared" si="4"/>
        <v>-5.1282051282051329E-2</v>
      </c>
      <c r="AB8" s="15">
        <v>0.35</v>
      </c>
      <c r="AC8" s="15">
        <v>0.37</v>
      </c>
      <c r="AD8" s="20">
        <f t="shared" si="5"/>
        <v>5.7142857142857197E-2</v>
      </c>
      <c r="AE8" s="20">
        <v>1.66E-2</v>
      </c>
      <c r="AF8" s="15">
        <v>0.02</v>
      </c>
      <c r="AG8" s="20">
        <f>(AF8-AE8)/AE8</f>
        <v>0.20481927710843376</v>
      </c>
      <c r="AH8" s="15">
        <v>0.01</v>
      </c>
      <c r="AI8" s="15">
        <v>0</v>
      </c>
      <c r="AJ8" s="11" t="s">
        <v>56</v>
      </c>
    </row>
    <row r="9" spans="1:36" x14ac:dyDescent="0.25">
      <c r="A9" s="4" t="s">
        <v>7</v>
      </c>
      <c r="B9" s="11">
        <v>117</v>
      </c>
      <c r="C9" s="11">
        <v>121</v>
      </c>
      <c r="D9" s="14">
        <f>(C9-B9)/B9</f>
        <v>3.4188034188034191E-2</v>
      </c>
      <c r="E9" s="11">
        <v>109</v>
      </c>
      <c r="F9" s="11">
        <v>100</v>
      </c>
      <c r="G9" s="14">
        <f t="shared" si="1"/>
        <v>-8.2568807339449546E-2</v>
      </c>
      <c r="H9" s="11">
        <v>0</v>
      </c>
      <c r="I9" s="11">
        <v>0</v>
      </c>
      <c r="J9" s="15">
        <v>0</v>
      </c>
      <c r="K9" s="11">
        <v>0</v>
      </c>
      <c r="L9" s="11">
        <v>0</v>
      </c>
      <c r="M9" s="14">
        <v>0</v>
      </c>
      <c r="N9" s="11">
        <v>38</v>
      </c>
      <c r="O9" s="11">
        <v>32</v>
      </c>
      <c r="P9" s="12">
        <f t="shared" si="3"/>
        <v>-0.15789473684210525</v>
      </c>
      <c r="Q9" s="11">
        <v>20</v>
      </c>
      <c r="R9" s="11">
        <v>16</v>
      </c>
      <c r="S9" s="11">
        <v>18</v>
      </c>
      <c r="T9" s="11">
        <v>16</v>
      </c>
      <c r="U9" s="11">
        <v>0</v>
      </c>
      <c r="V9" s="11">
        <v>0</v>
      </c>
      <c r="W9" s="11">
        <v>0</v>
      </c>
      <c r="X9" s="11">
        <v>0</v>
      </c>
      <c r="Y9" s="15">
        <v>0.43</v>
      </c>
      <c r="Z9" s="15">
        <v>0.48</v>
      </c>
      <c r="AA9" s="19">
        <f t="shared" si="4"/>
        <v>0.11627906976744183</v>
      </c>
      <c r="AB9" s="15">
        <v>0.4</v>
      </c>
      <c r="AC9" s="15">
        <v>0.38</v>
      </c>
      <c r="AD9" s="20">
        <f t="shared" si="5"/>
        <v>-5.0000000000000044E-2</v>
      </c>
      <c r="AE9" s="20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</row>
    <row r="10" spans="1:36" x14ac:dyDescent="0.25">
      <c r="A10" s="4" t="s">
        <v>27</v>
      </c>
      <c r="B10" s="11">
        <v>101</v>
      </c>
      <c r="C10" s="11">
        <v>101</v>
      </c>
      <c r="D10" s="14">
        <f t="shared" si="0"/>
        <v>0</v>
      </c>
      <c r="E10" s="11">
        <v>91</v>
      </c>
      <c r="F10" s="11">
        <v>101</v>
      </c>
      <c r="G10" s="14">
        <f t="shared" si="1"/>
        <v>0.10989010989010989</v>
      </c>
      <c r="H10" s="11">
        <v>0</v>
      </c>
      <c r="I10" s="11">
        <v>1</v>
      </c>
      <c r="J10" s="11" t="s">
        <v>56</v>
      </c>
      <c r="K10" s="11">
        <v>0</v>
      </c>
      <c r="L10" s="11">
        <v>1</v>
      </c>
      <c r="M10" s="14" t="s">
        <v>56</v>
      </c>
      <c r="N10" s="11">
        <v>26</v>
      </c>
      <c r="O10" s="11">
        <v>37</v>
      </c>
      <c r="P10" s="12">
        <f t="shared" si="3"/>
        <v>0.42307692307692307</v>
      </c>
      <c r="Q10" s="11">
        <v>15</v>
      </c>
      <c r="R10" s="11">
        <v>19</v>
      </c>
      <c r="S10" s="11">
        <v>11</v>
      </c>
      <c r="T10" s="11">
        <v>18</v>
      </c>
      <c r="U10" s="11">
        <v>0</v>
      </c>
      <c r="V10" s="11">
        <v>0</v>
      </c>
      <c r="W10" s="11">
        <v>0</v>
      </c>
      <c r="X10" s="11">
        <v>0</v>
      </c>
      <c r="Y10" s="15">
        <v>0.45</v>
      </c>
      <c r="Z10" s="15">
        <v>0.4</v>
      </c>
      <c r="AA10" s="19">
        <f t="shared" si="4"/>
        <v>-0.11111111111111108</v>
      </c>
      <c r="AB10" s="15">
        <v>0.42</v>
      </c>
      <c r="AC10" s="15">
        <v>0.41</v>
      </c>
      <c r="AD10" s="20">
        <f t="shared" si="5"/>
        <v>-2.3809523809523832E-2</v>
      </c>
      <c r="AE10" s="20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</row>
    <row r="19" spans="3:3" x14ac:dyDescent="0.25">
      <c r="C19" t="s">
        <v>59</v>
      </c>
    </row>
    <row r="40" spans="1:1" x14ac:dyDescent="0.25">
      <c r="A40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2024vs2025 Class Totals</vt:lpstr>
      <vt:lpstr>2024 Demographics</vt:lpstr>
      <vt:lpstr>2025 Demographics</vt:lpstr>
      <vt:lpstr>2024vs2025 Demographics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Saccharine Dreamer</dc:creator>
  <cp:lastModifiedBy>Saccharine Dreamer</cp:lastModifiedBy>
  <dcterms:created xsi:type="dcterms:W3CDTF">2026-08-15T22:32:47Z</dcterms:created>
  <dcterms:modified xsi:type="dcterms:W3CDTF">2026-08-18T02:27:24Z</dcterms:modified>
</cp:coreProperties>
</file>